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barte\Desktop\magisterka\semestr 3\zarzadzanie projektem informatyczny\"/>
    </mc:Choice>
  </mc:AlternateContent>
  <xr:revisionPtr revIDLastSave="0" documentId="13_ncr:1_{1E1F92D8-A1C9-4207-A4CC-B059B81AC8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O16" i="1" s="1"/>
  <c r="P16" i="1" s="1"/>
  <c r="Q16" i="1" s="1"/>
  <c r="R16" i="1" s="1"/>
  <c r="G16" i="1"/>
  <c r="H16" i="1"/>
  <c r="I16" i="1" s="1"/>
  <c r="J16" i="1" s="1"/>
  <c r="K16" i="1" s="1"/>
  <c r="L16" i="1" s="1"/>
  <c r="M16" i="1" s="1"/>
  <c r="F16" i="1"/>
  <c r="E16" i="1"/>
  <c r="C18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F14" i="1"/>
  <c r="R14" i="1"/>
  <c r="Q14" i="1"/>
  <c r="P14" i="1"/>
  <c r="O14" i="1"/>
  <c r="N14" i="1"/>
  <c r="R10" i="1"/>
  <c r="Q10" i="1"/>
  <c r="P10" i="1"/>
  <c r="O10" i="1"/>
  <c r="N10" i="1"/>
  <c r="R6" i="1"/>
  <c r="Q6" i="1"/>
  <c r="P6" i="1"/>
  <c r="O6" i="1"/>
  <c r="N6" i="1"/>
  <c r="E15" i="1"/>
  <c r="M14" i="1"/>
  <c r="L14" i="1"/>
  <c r="K14" i="1"/>
  <c r="J14" i="1"/>
  <c r="I14" i="1"/>
  <c r="H14" i="1"/>
  <c r="G14" i="1"/>
  <c r="E14" i="1"/>
  <c r="M10" i="1"/>
  <c r="L10" i="1"/>
  <c r="K10" i="1"/>
  <c r="J10" i="1"/>
  <c r="I10" i="1"/>
  <c r="H10" i="1"/>
  <c r="G10" i="1"/>
  <c r="F10" i="1"/>
  <c r="E10" i="1"/>
  <c r="M6" i="1"/>
  <c r="L6" i="1"/>
  <c r="K6" i="1"/>
  <c r="J6" i="1"/>
  <c r="I6" i="1"/>
  <c r="H6" i="1"/>
  <c r="G6" i="1"/>
  <c r="F6" i="1"/>
  <c r="E6" i="1"/>
</calcChain>
</file>

<file path=xl/sharedStrings.xml><?xml version="1.0" encoding="utf-8"?>
<sst xmlns="http://schemas.openxmlformats.org/spreadsheetml/2006/main" count="57" uniqueCount="38">
  <si>
    <t>Sprint 1 - Przykład realizacji</t>
  </si>
  <si>
    <t>Opis zadania</t>
  </si>
  <si>
    <t>Pomysłodawca</t>
  </si>
  <si>
    <t>Osoba odp.</t>
  </si>
  <si>
    <t>Status</t>
  </si>
  <si>
    <t>Dzień 1</t>
  </si>
  <si>
    <t>Dzień 2</t>
  </si>
  <si>
    <t>Dzień 3</t>
  </si>
  <si>
    <t>Dzień 4</t>
  </si>
  <si>
    <t>Dzień 5</t>
  </si>
  <si>
    <t>Dzień 6</t>
  </si>
  <si>
    <t>Dzień 7</t>
  </si>
  <si>
    <t>Dzień 8</t>
  </si>
  <si>
    <t>Dzień 9</t>
  </si>
  <si>
    <t>ANALIZA I DOKUMENTACJA</t>
  </si>
  <si>
    <t>Analiza wymagań biznesowych</t>
  </si>
  <si>
    <t>Joe</t>
  </si>
  <si>
    <t>Makise</t>
  </si>
  <si>
    <t>Zakończony</t>
  </si>
  <si>
    <t>Spisanie dokumentacji projektu</t>
  </si>
  <si>
    <t>PROJEKT INTERFEJSU (UI)</t>
  </si>
  <si>
    <t>Projekt makiety strony głównej</t>
  </si>
  <si>
    <t>Lucjusz</t>
  </si>
  <si>
    <t>Projekt formularzy</t>
  </si>
  <si>
    <t>Dobór stylów CSS i fontów</t>
  </si>
  <si>
    <t>REJESTRACJA I LOGOWANIE</t>
  </si>
  <si>
    <t>Utworzenie tabeli 'Users' w DB</t>
  </si>
  <si>
    <t>Amush</t>
  </si>
  <si>
    <t>API Backend: Logowanie</t>
  </si>
  <si>
    <t>Frontend: Formularz HTML/JS</t>
  </si>
  <si>
    <t>Aktualny czas realizacji</t>
  </si>
  <si>
    <t>Idealny czas realizacji</t>
  </si>
  <si>
    <t>idealne dziennie spalanie</t>
  </si>
  <si>
    <t>Dzień 10</t>
  </si>
  <si>
    <t>Dzień 11</t>
  </si>
  <si>
    <t>Dzień 12</t>
  </si>
  <si>
    <t>Dzień 13</t>
  </si>
  <si>
    <t>Dzień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</si>
</sst>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</cellXfs>
  <cellStyles count="1">
    <cellStyle name="Normal" xfId="0" builtinId="0"/>
  </cellStyles>
  <dxfs count="3"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Arkusz1!$D$15</c:f>
              <c:strCache>
                <c:ptCount val="1"/>
                <c:pt idx="0">
                  <c:v>Aktualny czas realizacji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Arkusz1!$E$15:$O$15</c:f>
              <c:numCache>
                <c:formatCode>General</c:formatCode>
                <c:ptCount val="11"/>
                <c:pt idx="0">
                  <c:v>83.2</c:v>
                </c:pt>
                <c:pt idx="1">
                  <c:v>75.2</c:v>
                </c:pt>
                <c:pt idx="2">
                  <c:v>67.2</c:v>
                </c:pt>
                <c:pt idx="3">
                  <c:v>59.2</c:v>
                </c:pt>
                <c:pt idx="4">
                  <c:v>46</c:v>
                </c:pt>
                <c:pt idx="5">
                  <c:v>42</c:v>
                </c:pt>
                <c:pt idx="6">
                  <c:v>33</c:v>
                </c:pt>
                <c:pt idx="7">
                  <c:v>24</c:v>
                </c:pt>
                <c:pt idx="8">
                  <c:v>16</c:v>
                </c:pt>
                <c:pt idx="9">
                  <c:v>7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2-43B5-B5E1-5A6F5A978F37}"/>
            </c:ext>
          </c:extLst>
        </c:ser>
        <c:ser>
          <c:idx val="1"/>
          <c:order val="1"/>
          <c:tx>
            <c:strRef>
              <c:f>Arkusz1!$D$16</c:f>
              <c:strCache>
                <c:ptCount val="1"/>
                <c:pt idx="0">
                  <c:v>Idealny czas realizacji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Arkusz1!$E$16:$O$16</c:f>
              <c:numCache>
                <c:formatCode>General</c:formatCode>
                <c:ptCount val="11"/>
                <c:pt idx="0">
                  <c:v>83.2</c:v>
                </c:pt>
                <c:pt idx="1">
                  <c:v>75.63636363636364</c:v>
                </c:pt>
                <c:pt idx="2">
                  <c:v>68.072727272727278</c:v>
                </c:pt>
                <c:pt idx="3">
                  <c:v>60.509090909090915</c:v>
                </c:pt>
                <c:pt idx="4">
                  <c:v>52.945454545454552</c:v>
                </c:pt>
                <c:pt idx="5">
                  <c:v>45.38181818181819</c:v>
                </c:pt>
                <c:pt idx="6">
                  <c:v>37.818181818181827</c:v>
                </c:pt>
                <c:pt idx="7">
                  <c:v>30.254545454545465</c:v>
                </c:pt>
                <c:pt idx="8">
                  <c:v>22.690909090909102</c:v>
                </c:pt>
                <c:pt idx="9">
                  <c:v>15.127272727272739</c:v>
                </c:pt>
                <c:pt idx="10">
                  <c:v>7.5636363636363759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B2-43B5-B5E1-5A6F5A978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187983"/>
        <c:axId val="1000196143"/>
      </c:lineChart>
      <c:catAx>
        <c:axId val="100018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00196143"/>
        <c:crosses val="autoZero"/>
        <c:auto val="1"/>
        <c:lblAlgn val="ctr"/>
        <c:lblOffset val="100"/>
        <c:noMultiLvlLbl val="0"/>
      </c:catAx>
      <c:valAx>
        <c:axId val="100019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0018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914400</xdr:colOff>
      <xdr:row>18</xdr:row>
      <xdr:rowOff>100012</xdr:rowOff>
    </xdr:from>
    <xdr:to>
      <xdr:col>10</xdr:col>
      <xdr:colOff>352425</xdr:colOff>
      <xdr:row>32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6B4C4-A98F-0FC7-229A-86C3AE134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tabSelected="1" workbookViewId="0">
      <selection activeCell="M20" sqref="M20"/>
    </sheetView>
  </sheetViews>
  <sheetFormatPr defaultRowHeight="15"/>
  <cols>
    <col min="1" max="1" width="41.28515625" customWidth="1"/>
    <col min="3" max="3" width="22.42578125" bestFit="1" customWidth="1"/>
    <col min="4" max="4" width="20.5703125" bestFit="1" customWidth="1"/>
    <col min="5" max="5" width="10.7109375" bestFit="1" customWidth="1"/>
  </cols>
  <sheetData>
    <row r="1" spans="1:18">
      <c r="A1" t="s">
        <v>0</v>
      </c>
    </row>
    <row r="2" spans="1:18" ht="30">
      <c r="A2" s="1" t="s">
        <v>1</v>
      </c>
      <c r="B2" s="2" t="s">
        <v>2</v>
      </c>
      <c r="C2" s="2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</row>
    <row r="3" spans="1:18">
      <c r="A3" s="1" t="s">
        <v>14</v>
      </c>
      <c r="B3" s="3"/>
      <c r="C3" s="3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5" t="s">
        <v>15</v>
      </c>
      <c r="B4" s="6" t="s">
        <v>16</v>
      </c>
      <c r="C4" s="6" t="s">
        <v>17</v>
      </c>
      <c r="D4" s="5" t="s">
        <v>18</v>
      </c>
      <c r="E4" s="9">
        <v>20</v>
      </c>
      <c r="F4" s="8">
        <v>12</v>
      </c>
      <c r="G4" s="7">
        <v>4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</row>
    <row r="5" spans="1:18">
      <c r="A5" s="5" t="s">
        <v>19</v>
      </c>
      <c r="B5" s="6" t="s">
        <v>17</v>
      </c>
      <c r="C5" s="6" t="s">
        <v>17</v>
      </c>
      <c r="D5" s="5" t="s">
        <v>18</v>
      </c>
      <c r="E5" s="9">
        <v>8</v>
      </c>
      <c r="F5" s="8">
        <v>8</v>
      </c>
      <c r="G5" s="7">
        <v>8</v>
      </c>
      <c r="H5" s="7">
        <v>4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</row>
    <row r="6" spans="1:18">
      <c r="A6" s="1" t="s">
        <v>20</v>
      </c>
      <c r="B6" s="3"/>
      <c r="C6" s="3"/>
      <c r="D6" s="4"/>
      <c r="E6" s="1">
        <f>SUM(E4:E5)</f>
        <v>28</v>
      </c>
      <c r="F6" s="1">
        <f t="shared" ref="F6:M6" si="0">SUM(F4:F5)</f>
        <v>20</v>
      </c>
      <c r="G6" s="1">
        <f t="shared" si="0"/>
        <v>12</v>
      </c>
      <c r="H6" s="1">
        <f t="shared" si="0"/>
        <v>4</v>
      </c>
      <c r="I6" s="1">
        <f t="shared" si="0"/>
        <v>0</v>
      </c>
      <c r="J6" s="1">
        <f t="shared" si="0"/>
        <v>0</v>
      </c>
      <c r="K6" s="1">
        <f t="shared" si="0"/>
        <v>0</v>
      </c>
      <c r="L6" s="1">
        <f t="shared" si="0"/>
        <v>0</v>
      </c>
      <c r="M6" s="1">
        <f t="shared" si="0"/>
        <v>0</v>
      </c>
      <c r="N6" s="1">
        <f>SUM(N4:N5)</f>
        <v>0</v>
      </c>
      <c r="O6" s="1">
        <f>SUM(O4:O5)</f>
        <v>0</v>
      </c>
      <c r="P6" s="1">
        <f>SUM(P4:P5)</f>
        <v>0</v>
      </c>
      <c r="Q6" s="1">
        <f>SUM(Q4:Q5)</f>
        <v>0</v>
      </c>
      <c r="R6" s="1">
        <f>SUM(R4:R5)</f>
        <v>0</v>
      </c>
    </row>
    <row r="7" spans="1:18">
      <c r="A7" s="5" t="s">
        <v>21</v>
      </c>
      <c r="B7" s="6" t="s">
        <v>16</v>
      </c>
      <c r="C7" s="6" t="s">
        <v>22</v>
      </c>
      <c r="D7" s="5" t="s">
        <v>18</v>
      </c>
      <c r="E7" s="9">
        <v>16</v>
      </c>
      <c r="F7" s="8">
        <v>16</v>
      </c>
      <c r="G7" s="8">
        <v>16</v>
      </c>
      <c r="H7" s="7">
        <v>16</v>
      </c>
      <c r="I7" s="7">
        <v>16</v>
      </c>
      <c r="J7" s="7">
        <v>15</v>
      </c>
      <c r="K7" s="7">
        <v>9</v>
      </c>
      <c r="L7" s="7">
        <v>5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</row>
    <row r="8" spans="1:18">
      <c r="A8" s="5" t="s">
        <v>23</v>
      </c>
      <c r="B8" s="6" t="s">
        <v>16</v>
      </c>
      <c r="C8" s="6" t="s">
        <v>22</v>
      </c>
      <c r="D8" s="5" t="s">
        <v>18</v>
      </c>
      <c r="E8" s="9">
        <v>11</v>
      </c>
      <c r="F8" s="8">
        <v>11</v>
      </c>
      <c r="G8" s="8">
        <v>11</v>
      </c>
      <c r="H8" s="8">
        <v>11</v>
      </c>
      <c r="I8" s="8">
        <v>11</v>
      </c>
      <c r="J8" s="7">
        <v>11</v>
      </c>
      <c r="K8" s="7">
        <v>11</v>
      </c>
      <c r="L8" s="7">
        <v>11</v>
      </c>
      <c r="M8" s="7">
        <v>10</v>
      </c>
      <c r="N8" s="7">
        <v>5</v>
      </c>
      <c r="O8" s="7">
        <v>2</v>
      </c>
      <c r="P8" s="7">
        <v>0</v>
      </c>
      <c r="Q8" s="7">
        <v>0</v>
      </c>
      <c r="R8" s="7">
        <v>0</v>
      </c>
    </row>
    <row r="9" spans="1:18">
      <c r="A9" s="5" t="s">
        <v>24</v>
      </c>
      <c r="B9" s="6" t="s">
        <v>22</v>
      </c>
      <c r="C9" s="6" t="s">
        <v>22</v>
      </c>
      <c r="D9" s="5" t="s">
        <v>18</v>
      </c>
      <c r="E9" s="9">
        <v>4.2</v>
      </c>
      <c r="F9" s="8">
        <v>4.2</v>
      </c>
      <c r="G9" s="8">
        <v>4.2</v>
      </c>
      <c r="H9" s="8">
        <v>4.2</v>
      </c>
      <c r="I9" s="8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</row>
    <row r="10" spans="1:18">
      <c r="A10" s="1" t="s">
        <v>25</v>
      </c>
      <c r="B10" s="3"/>
      <c r="C10" s="3"/>
      <c r="D10" s="4"/>
      <c r="E10" s="1">
        <f>SUM(E7:E9)</f>
        <v>31.2</v>
      </c>
      <c r="F10" s="1">
        <f t="shared" ref="F10:R10" si="1">SUM(F7:F9)</f>
        <v>31.2</v>
      </c>
      <c r="G10" s="1">
        <f t="shared" si="1"/>
        <v>31.2</v>
      </c>
      <c r="H10" s="1">
        <f t="shared" si="1"/>
        <v>31.2</v>
      </c>
      <c r="I10" s="1">
        <f t="shared" si="1"/>
        <v>28</v>
      </c>
      <c r="J10" s="1">
        <f t="shared" si="1"/>
        <v>26</v>
      </c>
      <c r="K10" s="1">
        <f t="shared" si="1"/>
        <v>20</v>
      </c>
      <c r="L10" s="1">
        <f t="shared" si="1"/>
        <v>16</v>
      </c>
      <c r="M10" s="1">
        <f t="shared" si="1"/>
        <v>10</v>
      </c>
      <c r="N10" s="1">
        <f>SUM(N7:N9)</f>
        <v>5</v>
      </c>
      <c r="O10" s="1">
        <f>SUM(O7:O9)</f>
        <v>2</v>
      </c>
      <c r="P10" s="1">
        <f t="shared" si="1"/>
        <v>0</v>
      </c>
      <c r="Q10" s="1">
        <f t="shared" si="1"/>
        <v>0</v>
      </c>
      <c r="R10" s="1">
        <f t="shared" si="1"/>
        <v>0</v>
      </c>
    </row>
    <row r="11" spans="1:18">
      <c r="A11" s="5" t="s">
        <v>26</v>
      </c>
      <c r="B11" s="6" t="s">
        <v>27</v>
      </c>
      <c r="C11" s="6" t="s">
        <v>27</v>
      </c>
      <c r="D11" s="5" t="s">
        <v>18</v>
      </c>
      <c r="E11" s="9">
        <v>4</v>
      </c>
      <c r="F11" s="9">
        <v>4</v>
      </c>
      <c r="G11" s="9">
        <v>4</v>
      </c>
      <c r="H11" s="9">
        <v>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</row>
    <row r="12" spans="1:18">
      <c r="A12" s="5" t="s">
        <v>28</v>
      </c>
      <c r="B12" s="6" t="s">
        <v>27</v>
      </c>
      <c r="C12" s="6" t="s">
        <v>27</v>
      </c>
      <c r="D12" s="5" t="s">
        <v>18</v>
      </c>
      <c r="E12" s="9">
        <v>12</v>
      </c>
      <c r="F12" s="9">
        <v>12</v>
      </c>
      <c r="G12" s="9">
        <v>12</v>
      </c>
      <c r="H12" s="9">
        <v>12</v>
      </c>
      <c r="I12" s="8">
        <v>10</v>
      </c>
      <c r="J12" s="8">
        <v>8</v>
      </c>
      <c r="K12" s="8">
        <v>5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</row>
    <row r="13" spans="1:18">
      <c r="A13" s="5" t="s">
        <v>29</v>
      </c>
      <c r="B13" s="6" t="s">
        <v>22</v>
      </c>
      <c r="C13" s="6" t="s">
        <v>22</v>
      </c>
      <c r="D13" s="5" t="s">
        <v>18</v>
      </c>
      <c r="E13" s="9">
        <v>8</v>
      </c>
      <c r="F13" s="9">
        <v>8</v>
      </c>
      <c r="G13" s="9">
        <v>8</v>
      </c>
      <c r="H13" s="9">
        <v>8</v>
      </c>
      <c r="I13" s="8">
        <v>8</v>
      </c>
      <c r="J13" s="8">
        <v>8</v>
      </c>
      <c r="K13" s="8">
        <v>8</v>
      </c>
      <c r="L13" s="8">
        <v>8</v>
      </c>
      <c r="M13" s="7">
        <v>6</v>
      </c>
      <c r="N13" s="7">
        <v>2</v>
      </c>
      <c r="O13" s="7">
        <v>0</v>
      </c>
      <c r="P13" s="7">
        <v>0</v>
      </c>
      <c r="Q13" s="7">
        <v>0</v>
      </c>
      <c r="R13" s="7">
        <v>0</v>
      </c>
    </row>
    <row r="14" spans="1:18">
      <c r="A14" s="4"/>
      <c r="B14" s="3"/>
      <c r="C14" s="3"/>
      <c r="D14" s="4"/>
      <c r="E14" s="1">
        <f>SUM(E11:E13)</f>
        <v>24</v>
      </c>
      <c r="F14" s="1">
        <f t="shared" ref="F14:M14" si="2">SUM(F11:F13)</f>
        <v>24</v>
      </c>
      <c r="G14" s="1">
        <f t="shared" si="2"/>
        <v>24</v>
      </c>
      <c r="H14" s="1">
        <f t="shared" si="2"/>
        <v>24</v>
      </c>
      <c r="I14" s="1">
        <f t="shared" si="2"/>
        <v>18</v>
      </c>
      <c r="J14" s="1">
        <f t="shared" si="2"/>
        <v>16</v>
      </c>
      <c r="K14" s="1">
        <f t="shared" si="2"/>
        <v>13</v>
      </c>
      <c r="L14" s="1">
        <f t="shared" si="2"/>
        <v>8</v>
      </c>
      <c r="M14" s="1">
        <f t="shared" si="2"/>
        <v>6</v>
      </c>
      <c r="N14" s="1">
        <f>SUM(N11:N13)</f>
        <v>2</v>
      </c>
      <c r="O14" s="1">
        <f>SUM(O11:O13)</f>
        <v>0</v>
      </c>
      <c r="P14" s="1">
        <f t="shared" ref="P14:R14" si="3">SUM(P11:P13)</f>
        <v>0</v>
      </c>
      <c r="Q14" s="1">
        <f t="shared" si="3"/>
        <v>0</v>
      </c>
      <c r="R14" s="1">
        <f t="shared" si="3"/>
        <v>0</v>
      </c>
    </row>
    <row r="15" spans="1:18">
      <c r="D15" t="s">
        <v>30</v>
      </c>
      <c r="E15">
        <f>E4+E5+E7+E8+E9+E11+E12+E13</f>
        <v>83.2</v>
      </c>
      <c r="F15">
        <f t="shared" ref="F15:R15" si="4">F4+F5+F7+F8+F9+F11+F12+F13</f>
        <v>75.2</v>
      </c>
      <c r="G15">
        <f t="shared" si="4"/>
        <v>67.2</v>
      </c>
      <c r="H15">
        <f t="shared" si="4"/>
        <v>59.2</v>
      </c>
      <c r="I15">
        <f t="shared" si="4"/>
        <v>46</v>
      </c>
      <c r="J15">
        <f t="shared" si="4"/>
        <v>42</v>
      </c>
      <c r="K15">
        <f t="shared" si="4"/>
        <v>33</v>
      </c>
      <c r="L15">
        <f t="shared" si="4"/>
        <v>24</v>
      </c>
      <c r="M15">
        <f t="shared" si="4"/>
        <v>16</v>
      </c>
      <c r="N15">
        <f t="shared" si="4"/>
        <v>7</v>
      </c>
      <c r="O15">
        <f t="shared" si="4"/>
        <v>2</v>
      </c>
      <c r="P15">
        <f t="shared" si="4"/>
        <v>0</v>
      </c>
      <c r="Q15">
        <f t="shared" si="4"/>
        <v>0</v>
      </c>
      <c r="R15">
        <f t="shared" si="4"/>
        <v>0</v>
      </c>
    </row>
    <row r="16" spans="1:18">
      <c r="D16" t="s">
        <v>31</v>
      </c>
      <c r="E16">
        <f>E15</f>
        <v>83.2</v>
      </c>
      <c r="F16">
        <f>IF(E16-$C$18&lt;0,0,E16-$C$18)</f>
        <v>75.63636363636364</v>
      </c>
      <c r="G16">
        <f t="shared" ref="G16:R16" si="5">IF(F16-$C$18&lt;0,0,F16-$C$18)</f>
        <v>68.072727272727278</v>
      </c>
      <c r="H16">
        <f t="shared" si="5"/>
        <v>60.509090909090915</v>
      </c>
      <c r="I16">
        <f t="shared" si="5"/>
        <v>52.945454545454552</v>
      </c>
      <c r="J16">
        <f t="shared" si="5"/>
        <v>45.38181818181819</v>
      </c>
      <c r="K16">
        <f t="shared" si="5"/>
        <v>37.818181818181827</v>
      </c>
      <c r="L16">
        <f t="shared" si="5"/>
        <v>30.254545454545465</v>
      </c>
      <c r="M16">
        <f t="shared" si="5"/>
        <v>22.690909090909102</v>
      </c>
      <c r="N16">
        <f t="shared" si="5"/>
        <v>15.127272727272739</v>
      </c>
      <c r="O16">
        <f t="shared" si="5"/>
        <v>7.5636363636363759</v>
      </c>
      <c r="P16">
        <f t="shared" si="5"/>
        <v>1.2434497875801753E-14</v>
      </c>
      <c r="Q16">
        <f t="shared" si="5"/>
        <v>0</v>
      </c>
      <c r="R16">
        <f t="shared" si="5"/>
        <v>0</v>
      </c>
    </row>
    <row r="17" spans="3:3">
      <c r="C17" t="s">
        <v>32</v>
      </c>
    </row>
    <row r="18" spans="3:3">
      <c r="C18">
        <f>E15/11</f>
        <v>7.5636363636363635</v>
      </c>
    </row>
  </sheetData>
  <phoneticPr fontId="3" type="noConversion"/>
  <conditionalFormatting sqref="E4:R5 E7:R9 E11:R13">
    <cfRule type="cellIs" dxfId="1" priority="2" operator="lessThan">
      <formula>1</formula>
    </cfRule>
    <cfRule type="cellIs" dxfId="0" priority="1" operator="greaterThanOrEqual">
      <formula>1</formula>
    </cfRule>
  </conditionalFormatting>
  <pageMargins left="0.70866141732283472" right="0.70866141732283472" top="0.74803149606299213" bottom="0.74803149606299213" header="0.31496062992125984" footer="0.31496062992125984"/>
  <pageSetup paperSize="9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bartek lipinski</cp:lastModifiedBy>
  <cp:revision/>
  <cp:lastPrinted>2026-01-18T21:32:32Z</cp:lastPrinted>
  <dcterms:created xsi:type="dcterms:W3CDTF">2025-11-28T17:35:10Z</dcterms:created>
  <dcterms:modified xsi:type="dcterms:W3CDTF">2026-01-18T21:36:12Z</dcterms:modified>
  <cp:category/>
  <cp:contentStatus/>
</cp:coreProperties>
</file>
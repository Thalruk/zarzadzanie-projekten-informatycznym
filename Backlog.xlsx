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xr:revisionPtr revIDLastSave="0" documentId="8_{990E0D0A-D659-4B1B-9880-7488D82B953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1" l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B18" i="1"/>
  <c r="D17" i="1"/>
  <c r="D16" i="1"/>
  <c r="D15" i="1"/>
  <c r="D18" i="1" s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B14" i="1"/>
  <c r="D13" i="1"/>
  <c r="D12" i="1"/>
  <c r="D11" i="1"/>
  <c r="D14" i="1" s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B10" i="1"/>
  <c r="D9" i="1"/>
  <c r="D8" i="1"/>
  <c r="D7" i="1"/>
  <c r="D10" i="1" s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B6" i="1"/>
  <c r="D5" i="1"/>
  <c r="D4" i="1"/>
  <c r="D3" i="1"/>
  <c r="D6" i="1" s="1"/>
</calcChain>
</file>

<file path=xl/sharedStrings.xml><?xml version="1.0" encoding="utf-8"?>
<sst xmlns="http://schemas.openxmlformats.org/spreadsheetml/2006/main" count="21" uniqueCount="21">
  <si>
    <t>Opis zaległości</t>
  </si>
  <si>
    <t>Początkowe szacunki</t>
  </si>
  <si>
    <t>Współczynnik dostosowania</t>
  </si>
  <si>
    <t>Dostosowane szacunki</t>
  </si>
  <si>
    <t>Ilośc pracy pozostałej do końca realizacji</t>
  </si>
  <si>
    <t>Analiza wymagań i dokumentacja</t>
  </si>
  <si>
    <t>Projekt interfejsu (UI)</t>
  </si>
  <si>
    <t>Rejestracja i logowanie</t>
  </si>
  <si>
    <t>Sprint 1</t>
  </si>
  <si>
    <t>Katalog produktów (Backend + Lista)</t>
  </si>
  <si>
    <t>Filtrowanie produktów</t>
  </si>
  <si>
    <t>Koszyk zakupowy</t>
  </si>
  <si>
    <t>Sprint 2</t>
  </si>
  <si>
    <t>Proces składania zamówienia</t>
  </si>
  <si>
    <t>Bramka płatności (Integracja)</t>
  </si>
  <si>
    <t>Panel administracyjny</t>
  </si>
  <si>
    <t>Sprint 3</t>
  </si>
  <si>
    <t>Testy funkcjonalne i integracyjne</t>
  </si>
  <si>
    <t>Optymalizacja wydajności</t>
  </si>
  <si>
    <t>Demo i dokumentacja końcowa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</si>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</sst>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Google Sans Text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0" fontId="1" fillId="4" borderId="2" xfId="0" applyFont="1" applyFill="1" applyBorder="1"/>
    <xf numFmtId="0" fontId="2" fillId="4" borderId="2" xfId="0" applyFont="1" applyFill="1" applyBorder="1" applyAlignment="1">
      <alignment horizontal="center"/>
    </xf>
    <xf numFmtId="4" fontId="2" fillId="4" borderId="2" xfId="0" applyNumberFormat="1" applyFont="1" applyFill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0" fontId="3" fillId="0" borderId="4" xfId="0" applyFont="1" applyBorder="1"/>
    <xf numFmtId="2" fontId="2" fillId="5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workbookViewId="0">
      <selection activeCell="A24" sqref="A19:XFD24"/>
    </sheetView>
  </sheetViews>
  <sheetFormatPr defaultRowHeight="15"/>
  <cols>
    <col min="1" max="1" width="55.28515625" customWidth="1"/>
    <col min="2" max="2" width="35.7109375" bestFit="1" customWidth="1"/>
    <col min="3" max="3" width="36.5703125" bestFit="1" customWidth="1"/>
    <col min="4" max="4" width="14.85546875" bestFit="1" customWidth="1"/>
    <col min="5" max="18" width="8.5703125" customWidth="1"/>
  </cols>
  <sheetData>
    <row r="1" spans="1:18" ht="33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33" customHeight="1">
      <c r="A2" s="3"/>
      <c r="B2" s="3"/>
      <c r="C2" s="3"/>
      <c r="D2" s="3"/>
      <c r="E2" s="4">
        <v>1</v>
      </c>
      <c r="F2" s="4">
        <v>2</v>
      </c>
      <c r="G2" s="4">
        <v>3</v>
      </c>
      <c r="H2" s="4">
        <v>4</v>
      </c>
      <c r="I2" s="4">
        <v>5</v>
      </c>
      <c r="J2" s="4">
        <v>6</v>
      </c>
      <c r="K2" s="4">
        <v>7</v>
      </c>
      <c r="L2" s="4">
        <v>8</v>
      </c>
      <c r="M2" s="4">
        <v>9</v>
      </c>
      <c r="N2" s="4">
        <v>10</v>
      </c>
      <c r="O2" s="4">
        <v>11</v>
      </c>
      <c r="P2" s="4">
        <v>12</v>
      </c>
      <c r="Q2" s="4">
        <v>13</v>
      </c>
      <c r="R2" s="4">
        <v>14</v>
      </c>
    </row>
    <row r="3" spans="1:18" ht="19.5" customHeight="1">
      <c r="A3" s="13" t="s">
        <v>5</v>
      </c>
      <c r="B3" s="5">
        <v>4</v>
      </c>
      <c r="C3" s="6">
        <v>0.1</v>
      </c>
      <c r="D3" s="7">
        <f xml:space="preserve"> B3 * (1 + C3)</f>
        <v>4.4000000000000004</v>
      </c>
      <c r="E3" s="8">
        <v>4.4000000000000004</v>
      </c>
      <c r="F3" s="8">
        <v>3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</row>
    <row r="4" spans="1:18" ht="19.5" customHeight="1">
      <c r="A4" s="13" t="s">
        <v>6</v>
      </c>
      <c r="B4" s="5">
        <v>10</v>
      </c>
      <c r="C4" s="6">
        <v>0.3</v>
      </c>
      <c r="D4" s="7">
        <f t="shared" ref="D4" si="0" xml:space="preserve"> B4 * (1 + C4)</f>
        <v>13</v>
      </c>
      <c r="E4" s="8">
        <v>13</v>
      </c>
      <c r="F4" s="8">
        <v>12</v>
      </c>
      <c r="G4" s="8">
        <v>9</v>
      </c>
      <c r="H4" s="8">
        <v>5</v>
      </c>
      <c r="I4" s="8">
        <v>3</v>
      </c>
      <c r="J4" s="14">
        <v>0</v>
      </c>
      <c r="K4" s="14">
        <v>0</v>
      </c>
      <c r="L4" s="14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</row>
    <row r="5" spans="1:18" ht="19.5" customHeight="1">
      <c r="A5" s="13" t="s">
        <v>7</v>
      </c>
      <c r="B5" s="5">
        <v>8</v>
      </c>
      <c r="C5" s="6">
        <v>0.5</v>
      </c>
      <c r="D5" s="7">
        <f xml:space="preserve"> B5 * (1 + C5)</f>
        <v>12</v>
      </c>
      <c r="E5" s="8">
        <v>12</v>
      </c>
      <c r="F5" s="8">
        <v>12</v>
      </c>
      <c r="G5" s="8">
        <v>11</v>
      </c>
      <c r="H5" s="8">
        <v>10</v>
      </c>
      <c r="I5" s="8">
        <v>8</v>
      </c>
      <c r="J5" s="8">
        <v>6</v>
      </c>
      <c r="K5" s="8">
        <v>4</v>
      </c>
      <c r="L5" s="8">
        <v>3</v>
      </c>
      <c r="M5" s="8">
        <v>1</v>
      </c>
      <c r="N5" s="7">
        <v>0</v>
      </c>
      <c r="O5" s="7">
        <v>0</v>
      </c>
      <c r="P5" s="7">
        <v>0</v>
      </c>
      <c r="Q5" s="7">
        <v>0</v>
      </c>
      <c r="R5" s="7">
        <v>0</v>
      </c>
    </row>
    <row r="6" spans="1:18" ht="19.5" customHeight="1">
      <c r="A6" s="9" t="s">
        <v>8</v>
      </c>
      <c r="B6" s="10">
        <f>SUM(B3:B5)</f>
        <v>22</v>
      </c>
      <c r="C6" s="11"/>
      <c r="D6" s="12">
        <f>SUM(D3:D5)</f>
        <v>29.4</v>
      </c>
      <c r="E6" s="12">
        <f>SUM(E3:E5)</f>
        <v>29.4</v>
      </c>
      <c r="F6" s="12">
        <f t="shared" ref="F6:R6" si="1">SUM(F3:F5)</f>
        <v>27</v>
      </c>
      <c r="G6" s="12">
        <f t="shared" si="1"/>
        <v>20</v>
      </c>
      <c r="H6" s="12">
        <f t="shared" si="1"/>
        <v>15</v>
      </c>
      <c r="I6" s="12">
        <f t="shared" si="1"/>
        <v>11</v>
      </c>
      <c r="J6" s="12">
        <f t="shared" si="1"/>
        <v>6</v>
      </c>
      <c r="K6" s="12">
        <f t="shared" si="1"/>
        <v>4</v>
      </c>
      <c r="L6" s="12">
        <f t="shared" si="1"/>
        <v>3</v>
      </c>
      <c r="M6" s="12">
        <f t="shared" si="1"/>
        <v>1</v>
      </c>
      <c r="N6" s="12">
        <f t="shared" si="1"/>
        <v>0</v>
      </c>
      <c r="O6" s="12">
        <f t="shared" si="1"/>
        <v>0</v>
      </c>
      <c r="P6" s="12">
        <f t="shared" si="1"/>
        <v>0</v>
      </c>
      <c r="Q6" s="12">
        <f t="shared" si="1"/>
        <v>0</v>
      </c>
      <c r="R6" s="12">
        <f t="shared" si="1"/>
        <v>0</v>
      </c>
    </row>
    <row r="7" spans="1:18" ht="19.5" customHeight="1">
      <c r="A7" s="13" t="s">
        <v>9</v>
      </c>
      <c r="B7" s="5">
        <v>8</v>
      </c>
      <c r="C7" s="6">
        <v>0.2</v>
      </c>
      <c r="D7" s="7">
        <f xml:space="preserve"> B7 * (1 + C7)</f>
        <v>9.6</v>
      </c>
      <c r="E7" s="8">
        <v>9.6</v>
      </c>
      <c r="F7" s="8">
        <v>7</v>
      </c>
      <c r="G7" s="8">
        <v>4</v>
      </c>
      <c r="H7" s="8">
        <v>1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</row>
    <row r="8" spans="1:18" ht="19.5" customHeight="1">
      <c r="A8" s="13" t="s">
        <v>10</v>
      </c>
      <c r="B8" s="5">
        <v>4</v>
      </c>
      <c r="C8" s="6">
        <v>0.3</v>
      </c>
      <c r="D8" s="7">
        <f t="shared" ref="D8" si="2" xml:space="preserve"> B8 * (1 + C8)</f>
        <v>5.2</v>
      </c>
      <c r="E8" s="8">
        <v>5.2</v>
      </c>
      <c r="F8" s="8">
        <v>3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</row>
    <row r="9" spans="1:18" ht="15.75">
      <c r="A9" s="13" t="s">
        <v>11</v>
      </c>
      <c r="B9" s="5">
        <v>10</v>
      </c>
      <c r="C9" s="6">
        <v>0.3</v>
      </c>
      <c r="D9" s="7">
        <f xml:space="preserve"> B9 * (1 + C9)</f>
        <v>13</v>
      </c>
      <c r="E9" s="8">
        <v>13</v>
      </c>
      <c r="F9" s="8">
        <v>12</v>
      </c>
      <c r="G9" s="8">
        <v>11</v>
      </c>
      <c r="H9" s="8">
        <v>10</v>
      </c>
      <c r="I9" s="8">
        <v>8</v>
      </c>
      <c r="J9" s="8">
        <v>6</v>
      </c>
      <c r="K9" s="8">
        <v>4</v>
      </c>
      <c r="L9" s="14">
        <v>0</v>
      </c>
      <c r="M9" s="14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</row>
    <row r="10" spans="1:18" ht="15.75">
      <c r="A10" s="9" t="s">
        <v>12</v>
      </c>
      <c r="B10" s="10">
        <f>SUM(B7:B9)</f>
        <v>22</v>
      </c>
      <c r="C10" s="11"/>
      <c r="D10" s="12">
        <f>SUM(D7:D9)</f>
        <v>27.8</v>
      </c>
      <c r="E10" s="12">
        <f>SUM(E7:E9)</f>
        <v>27.8</v>
      </c>
      <c r="F10" s="12">
        <f t="shared" ref="F10:R10" si="3">SUM(F7:F9)</f>
        <v>22</v>
      </c>
      <c r="G10" s="12">
        <f t="shared" si="3"/>
        <v>15</v>
      </c>
      <c r="H10" s="12">
        <f t="shared" si="3"/>
        <v>11</v>
      </c>
      <c r="I10" s="12">
        <f t="shared" si="3"/>
        <v>8</v>
      </c>
      <c r="J10" s="12">
        <f t="shared" si="3"/>
        <v>6</v>
      </c>
      <c r="K10" s="12">
        <f t="shared" si="3"/>
        <v>4</v>
      </c>
      <c r="L10" s="12">
        <f t="shared" si="3"/>
        <v>0</v>
      </c>
      <c r="M10" s="12">
        <f t="shared" si="3"/>
        <v>0</v>
      </c>
      <c r="N10" s="12">
        <f t="shared" si="3"/>
        <v>0</v>
      </c>
      <c r="O10" s="12">
        <f t="shared" si="3"/>
        <v>0</v>
      </c>
      <c r="P10" s="12">
        <f t="shared" si="3"/>
        <v>0</v>
      </c>
      <c r="Q10" s="12">
        <f t="shared" si="3"/>
        <v>0</v>
      </c>
      <c r="R10" s="12">
        <f t="shared" si="3"/>
        <v>0</v>
      </c>
    </row>
    <row r="11" spans="1:18" ht="15.75">
      <c r="A11" s="13" t="s">
        <v>13</v>
      </c>
      <c r="B11" s="5">
        <v>8</v>
      </c>
      <c r="C11" s="6">
        <v>0.4</v>
      </c>
      <c r="D11" s="7">
        <f xml:space="preserve"> B11 * (1 + C11)</f>
        <v>11.2</v>
      </c>
      <c r="E11" s="8">
        <v>11.2</v>
      </c>
      <c r="F11" s="8">
        <v>7</v>
      </c>
      <c r="G11" s="8">
        <v>4</v>
      </c>
      <c r="H11" s="8">
        <v>1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</row>
    <row r="12" spans="1:18" ht="15.75">
      <c r="A12" s="13" t="s">
        <v>14</v>
      </c>
      <c r="B12" s="5">
        <v>6</v>
      </c>
      <c r="C12" s="6">
        <v>0.5</v>
      </c>
      <c r="D12" s="7">
        <f t="shared" ref="D12" si="4" xml:space="preserve"> B12 * (1 + C12)</f>
        <v>9</v>
      </c>
      <c r="E12" s="8">
        <v>9</v>
      </c>
      <c r="F12" s="8">
        <v>7</v>
      </c>
      <c r="G12" s="8">
        <v>5</v>
      </c>
      <c r="H12" s="8">
        <v>2</v>
      </c>
      <c r="I12" s="14">
        <v>0</v>
      </c>
      <c r="J12" s="14">
        <v>0</v>
      </c>
      <c r="K12" s="14">
        <v>0</v>
      </c>
      <c r="L12" s="14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</row>
    <row r="13" spans="1:18" ht="15.75">
      <c r="A13" s="13" t="s">
        <v>15</v>
      </c>
      <c r="B13" s="5">
        <v>10</v>
      </c>
      <c r="C13" s="6">
        <v>0.7</v>
      </c>
      <c r="D13" s="7">
        <f xml:space="preserve"> B13 * (1 + C13)</f>
        <v>17</v>
      </c>
      <c r="E13" s="8">
        <v>17</v>
      </c>
      <c r="F13" s="8">
        <v>13</v>
      </c>
      <c r="G13" s="8">
        <v>11</v>
      </c>
      <c r="H13" s="8">
        <v>10</v>
      </c>
      <c r="I13" s="8">
        <v>8</v>
      </c>
      <c r="J13" s="8">
        <v>4</v>
      </c>
      <c r="K13" s="14">
        <v>0</v>
      </c>
      <c r="L13" s="14">
        <v>0</v>
      </c>
      <c r="M13" s="14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</row>
    <row r="14" spans="1:18" ht="15.75">
      <c r="A14" s="9" t="s">
        <v>16</v>
      </c>
      <c r="B14" s="10">
        <f>SUM(B11:B13)</f>
        <v>24</v>
      </c>
      <c r="C14" s="11"/>
      <c r="D14" s="12">
        <f>SUM(D11:D13)</f>
        <v>37.200000000000003</v>
      </c>
      <c r="E14" s="12">
        <f>SUM(E11:E13)</f>
        <v>37.200000000000003</v>
      </c>
      <c r="F14" s="12">
        <f t="shared" ref="F14:R14" si="5">SUM(F11:F13)</f>
        <v>27</v>
      </c>
      <c r="G14" s="12">
        <f t="shared" si="5"/>
        <v>20</v>
      </c>
      <c r="H14" s="12">
        <f t="shared" si="5"/>
        <v>13</v>
      </c>
      <c r="I14" s="12">
        <f t="shared" si="5"/>
        <v>8</v>
      </c>
      <c r="J14" s="12">
        <f t="shared" si="5"/>
        <v>4</v>
      </c>
      <c r="K14" s="12">
        <f t="shared" si="5"/>
        <v>0</v>
      </c>
      <c r="L14" s="12">
        <f t="shared" si="5"/>
        <v>0</v>
      </c>
      <c r="M14" s="12">
        <f t="shared" si="5"/>
        <v>0</v>
      </c>
      <c r="N14" s="12">
        <f t="shared" si="5"/>
        <v>0</v>
      </c>
      <c r="O14" s="12">
        <f t="shared" si="5"/>
        <v>0</v>
      </c>
      <c r="P14" s="12">
        <f t="shared" si="5"/>
        <v>0</v>
      </c>
      <c r="Q14" s="12">
        <f t="shared" si="5"/>
        <v>0</v>
      </c>
      <c r="R14" s="12">
        <f t="shared" si="5"/>
        <v>0</v>
      </c>
    </row>
    <row r="15" spans="1:18" ht="15.75">
      <c r="A15" s="13" t="s">
        <v>17</v>
      </c>
      <c r="B15" s="5">
        <v>8</v>
      </c>
      <c r="C15" s="6">
        <v>0.3</v>
      </c>
      <c r="D15" s="7">
        <f xml:space="preserve"> B15 * (1 + C15)</f>
        <v>10.4</v>
      </c>
      <c r="E15" s="8">
        <v>10.4</v>
      </c>
      <c r="F15" s="8">
        <v>6</v>
      </c>
      <c r="G15" s="8">
        <v>2</v>
      </c>
      <c r="H15" s="14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</row>
    <row r="16" spans="1:18" ht="15.75">
      <c r="A16" s="13" t="s">
        <v>18</v>
      </c>
      <c r="B16" s="5">
        <v>6</v>
      </c>
      <c r="C16" s="6">
        <v>0.4</v>
      </c>
      <c r="D16" s="7">
        <f t="shared" ref="D16" si="6" xml:space="preserve"> B16 * (1 + C16)</f>
        <v>8.3999999999999986</v>
      </c>
      <c r="E16" s="8">
        <v>8.4</v>
      </c>
      <c r="F16" s="8">
        <v>4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</row>
    <row r="17" spans="1:18" ht="15.75">
      <c r="A17" s="13" t="s">
        <v>19</v>
      </c>
      <c r="B17" s="5">
        <v>6</v>
      </c>
      <c r="C17" s="6">
        <v>0.1</v>
      </c>
      <c r="D17" s="7">
        <f xml:space="preserve"> B17 * (1 + C17)</f>
        <v>6.6000000000000005</v>
      </c>
      <c r="E17" s="8">
        <v>6.6</v>
      </c>
      <c r="F17" s="8">
        <v>4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</row>
    <row r="18" spans="1:18" ht="15.75">
      <c r="A18" s="9" t="s">
        <v>20</v>
      </c>
      <c r="B18" s="10">
        <f>SUM(B15:B17)</f>
        <v>20</v>
      </c>
      <c r="C18" s="11"/>
      <c r="D18" s="12">
        <f>SUM(D15:D17)</f>
        <v>25.4</v>
      </c>
      <c r="E18" s="12">
        <f>SUM(E15:E17)</f>
        <v>25.4</v>
      </c>
      <c r="F18" s="12">
        <f t="shared" ref="F18:R18" si="7">SUM(F15:F17)</f>
        <v>14</v>
      </c>
      <c r="G18" s="12">
        <f t="shared" si="7"/>
        <v>2</v>
      </c>
      <c r="H18" s="12">
        <f t="shared" si="7"/>
        <v>0</v>
      </c>
      <c r="I18" s="12">
        <f t="shared" si="7"/>
        <v>0</v>
      </c>
      <c r="J18" s="12">
        <f t="shared" si="7"/>
        <v>0</v>
      </c>
      <c r="K18" s="12">
        <f t="shared" si="7"/>
        <v>0</v>
      </c>
      <c r="L18" s="12">
        <f t="shared" si="7"/>
        <v>0</v>
      </c>
      <c r="M18" s="12">
        <f t="shared" si="7"/>
        <v>0</v>
      </c>
      <c r="N18" s="12">
        <f t="shared" si="7"/>
        <v>0</v>
      </c>
      <c r="O18" s="12">
        <f t="shared" si="7"/>
        <v>0</v>
      </c>
      <c r="P18" s="12">
        <f t="shared" si="7"/>
        <v>0</v>
      </c>
      <c r="Q18" s="12">
        <f t="shared" si="7"/>
        <v>0</v>
      </c>
      <c r="R18" s="12">
        <f t="shared" si="7"/>
        <v>0</v>
      </c>
    </row>
  </sheetData>
  <mergeCells count="5">
    <mergeCell ref="A1:A2"/>
    <mergeCell ref="B1:B2"/>
    <mergeCell ref="C1:C2"/>
    <mergeCell ref="D1:D2"/>
    <mergeCell ref="E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2025-11-28T14:53:11Z</dcterms:created>
  <dcterms:modified xsi:type="dcterms:W3CDTF">2025-11-28T15:22:33Z</dcterms:modified>
  <cp:category/>
  <cp:contentStatus/>
</cp:coreProperties>
</file>
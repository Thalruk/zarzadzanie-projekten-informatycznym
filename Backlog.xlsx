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rte\Desktop\magisterka\semestr 3\zarzadzanie projektem informatyczny\"/>
    </mc:Choice>
  </mc:AlternateContent>
  <xr:revisionPtr revIDLastSave="0" documentId="13_ncr:1_{E85BB44B-1737-4BAB-9C30-52BB56476C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B10" i="1"/>
  <c r="B6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B18" i="1"/>
  <c r="D17" i="1"/>
  <c r="D16" i="1"/>
  <c r="D15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B14" i="1"/>
  <c r="D11" i="1"/>
  <c r="D13" i="1"/>
  <c r="D12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9" i="1"/>
  <c r="D8" i="1"/>
  <c r="D7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5" i="1"/>
  <c r="D4" i="1"/>
  <c r="D3" i="1"/>
  <c r="D10" i="1" l="1"/>
  <c r="D18" i="1"/>
  <c r="D6" i="1"/>
</calcChain>
</file>

<file path=xl/sharedStrings.xml><?xml version="1.0" encoding="utf-8"?>
<sst xmlns="http://schemas.openxmlformats.org/spreadsheetml/2006/main" count="21" uniqueCount="21">
  <si>
    <t>Opis zaległości</t>
  </si>
  <si>
    <t>Początkowe szacunki</t>
  </si>
  <si>
    <t>Współczynnik dostosowania</t>
  </si>
  <si>
    <t>Dostosowane szacunki</t>
  </si>
  <si>
    <t>Ilośc pracy pozostałej do końca realizacji</t>
  </si>
  <si>
    <t>Analiza wymagań i dokumentacja</t>
  </si>
  <si>
    <t>Projekt interfejsu (UI)</t>
  </si>
  <si>
    <t>Rejestracja i logowanie</t>
  </si>
  <si>
    <t>Sprint 1</t>
  </si>
  <si>
    <t>Katalog produktów (Backend + Lista)</t>
  </si>
  <si>
    <t>Filtrowanie produktów</t>
  </si>
  <si>
    <t>Koszyk zakupowy</t>
  </si>
  <si>
    <t>Sprint 2</t>
  </si>
  <si>
    <t>Proces składania zamówienia</t>
  </si>
  <si>
    <t>Bramka płatności (Integracja)</t>
  </si>
  <si>
    <t>Panel administracyjny</t>
  </si>
  <si>
    <t>Sprint 3</t>
  </si>
  <si>
    <t>Testy funkcjonalne i integracyjne</t>
  </si>
  <si>
    <t>Optymalizacja wydajności</t>
  </si>
  <si>
    <t>Demo i dokumentacja końcowa</t>
  </si>
  <si>
    <t>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</si>
</sst>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Google Sans Text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0" fontId="1" fillId="4" borderId="2" xfId="0" applyFont="1" applyFill="1" applyBorder="1"/>
    <xf numFmtId="0" fontId="2" fillId="4" borderId="2" xfId="0" applyFont="1" applyFill="1" applyBorder="1" applyAlignment="1">
      <alignment horizontal="center"/>
    </xf>
    <xf numFmtId="4" fontId="2" fillId="4" borderId="2" xfId="0" applyNumberFormat="1" applyFont="1" applyFill="1" applyBorder="1" applyAlignment="1">
      <alignment horizontal="center"/>
    </xf>
    <xf numFmtId="2" fontId="2" fillId="4" borderId="2" xfId="0" applyNumberFormat="1" applyFont="1" applyFill="1" applyBorder="1" applyAlignment="1">
      <alignment horizontal="center"/>
    </xf>
    <xf numFmtId="0" fontId="3" fillId="0" borderId="4" xfId="0" applyFont="1" applyBorder="1"/>
    <xf numFmtId="2" fontId="2" fillId="5" borderId="2" xfId="0" applyNumberFormat="1" applyFont="1" applyFill="1" applyBorder="1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8</xdr:col>
      <xdr:colOff>6350</xdr:colOff>
      <xdr:row>17</xdr:row>
      <xdr:rowOff>6350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2077718-3F21-6B08-6AD2-4388292D1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90950"/>
          <a:ext cx="6032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1"/>
  <sheetViews>
    <sheetView tabSelected="1" zoomScaleNormal="100" workbookViewId="0">
      <selection activeCell="C22" sqref="C22"/>
    </sheetView>
  </sheetViews>
  <sheetFormatPr defaultRowHeight="15"/>
  <cols>
    <col min="1" max="1" width="55.28515625" customWidth="1"/>
    <col min="2" max="2" width="35.7109375" bestFit="1" customWidth="1"/>
    <col min="3" max="3" width="36.42578125" bestFit="1" customWidth="1"/>
    <col min="4" max="4" width="14.85546875" bestFit="1" customWidth="1"/>
    <col min="5" max="18" width="8.42578125" customWidth="1"/>
  </cols>
  <sheetData>
    <row r="1" spans="1:18" ht="15" customHeight="1">
      <c r="A1" s="13" t="s">
        <v>0</v>
      </c>
      <c r="B1" s="13" t="s">
        <v>1</v>
      </c>
      <c r="C1" s="13" t="s">
        <v>2</v>
      </c>
      <c r="D1" s="13" t="s">
        <v>3</v>
      </c>
      <c r="E1" s="15" t="s">
        <v>4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45" customHeight="1">
      <c r="A2" s="14"/>
      <c r="B2" s="14"/>
      <c r="C2" s="14"/>
      <c r="D2" s="14"/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</row>
    <row r="3" spans="1:18" ht="18.95" customHeight="1">
      <c r="A3" s="10" t="s">
        <v>5</v>
      </c>
      <c r="B3" s="2">
        <v>20</v>
      </c>
      <c r="C3" s="3">
        <v>0.4</v>
      </c>
      <c r="D3" s="4">
        <f xml:space="preserve"> B3 * (1 + C3)</f>
        <v>28</v>
      </c>
      <c r="E3" s="5">
        <v>28</v>
      </c>
      <c r="F3" s="5">
        <v>20</v>
      </c>
      <c r="G3" s="4">
        <v>12</v>
      </c>
      <c r="H3" s="4">
        <v>4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</row>
    <row r="4" spans="1:18" ht="18.95" customHeight="1">
      <c r="A4" s="10" t="s">
        <v>6</v>
      </c>
      <c r="B4" s="2">
        <v>24</v>
      </c>
      <c r="C4" s="3">
        <v>0.3</v>
      </c>
      <c r="D4" s="4">
        <f t="shared" ref="D4" si="0" xml:space="preserve"> B4 * (1 + C4)</f>
        <v>31.200000000000003</v>
      </c>
      <c r="E4" s="5">
        <v>31.2</v>
      </c>
      <c r="F4" s="5">
        <v>31.2</v>
      </c>
      <c r="G4" s="5">
        <v>31.2</v>
      </c>
      <c r="H4" s="5">
        <v>31.2</v>
      </c>
      <c r="I4" s="5">
        <v>28</v>
      </c>
      <c r="J4" s="11">
        <v>26</v>
      </c>
      <c r="K4" s="11">
        <v>20</v>
      </c>
      <c r="L4" s="11">
        <v>16</v>
      </c>
      <c r="M4" s="4">
        <v>10</v>
      </c>
      <c r="N4" s="4">
        <v>5</v>
      </c>
      <c r="O4" s="4">
        <v>2</v>
      </c>
      <c r="P4" s="4">
        <v>0</v>
      </c>
      <c r="Q4" s="4">
        <v>0</v>
      </c>
      <c r="R4" s="4">
        <v>0</v>
      </c>
    </row>
    <row r="5" spans="1:18" ht="18.95" customHeight="1">
      <c r="A5" s="10" t="s">
        <v>7</v>
      </c>
      <c r="B5" s="2">
        <v>16</v>
      </c>
      <c r="C5" s="3">
        <v>0.5</v>
      </c>
      <c r="D5" s="4">
        <f xml:space="preserve"> B5 * (1 + C5)</f>
        <v>24</v>
      </c>
      <c r="E5" s="5">
        <v>24</v>
      </c>
      <c r="F5" s="5">
        <v>24</v>
      </c>
      <c r="G5" s="5">
        <v>24</v>
      </c>
      <c r="H5" s="5">
        <v>24</v>
      </c>
      <c r="I5" s="5">
        <v>18</v>
      </c>
      <c r="J5" s="5">
        <v>16</v>
      </c>
      <c r="K5" s="5">
        <v>13</v>
      </c>
      <c r="L5" s="5">
        <v>8</v>
      </c>
      <c r="M5" s="5">
        <v>6</v>
      </c>
      <c r="N5" s="4">
        <v>2</v>
      </c>
      <c r="O5" s="4">
        <v>0</v>
      </c>
      <c r="P5" s="4">
        <v>0</v>
      </c>
      <c r="Q5" s="4">
        <v>0</v>
      </c>
      <c r="R5" s="4">
        <v>0</v>
      </c>
    </row>
    <row r="6" spans="1:18" ht="18.95" customHeight="1">
      <c r="A6" s="6" t="s">
        <v>8</v>
      </c>
      <c r="B6" s="7">
        <f>SUM(B3:B5)</f>
        <v>60</v>
      </c>
      <c r="C6" s="8"/>
      <c r="D6" s="9">
        <f t="shared" ref="D6:R6" si="1">SUM(D3:D5)</f>
        <v>83.2</v>
      </c>
      <c r="E6" s="9">
        <f t="shared" si="1"/>
        <v>83.2</v>
      </c>
      <c r="F6" s="9">
        <f t="shared" si="1"/>
        <v>75.2</v>
      </c>
      <c r="G6" s="9">
        <f t="shared" si="1"/>
        <v>67.2</v>
      </c>
      <c r="H6" s="9">
        <f t="shared" si="1"/>
        <v>59.2</v>
      </c>
      <c r="I6" s="9">
        <f t="shared" si="1"/>
        <v>46</v>
      </c>
      <c r="J6" s="9">
        <f t="shared" si="1"/>
        <v>42</v>
      </c>
      <c r="K6" s="9">
        <f t="shared" si="1"/>
        <v>33</v>
      </c>
      <c r="L6" s="9">
        <f t="shared" si="1"/>
        <v>24</v>
      </c>
      <c r="M6" s="9">
        <f t="shared" si="1"/>
        <v>16</v>
      </c>
      <c r="N6" s="9">
        <f t="shared" si="1"/>
        <v>7</v>
      </c>
      <c r="O6" s="9">
        <f t="shared" si="1"/>
        <v>2</v>
      </c>
      <c r="P6" s="9">
        <f t="shared" si="1"/>
        <v>0</v>
      </c>
      <c r="Q6" s="9">
        <f t="shared" si="1"/>
        <v>0</v>
      </c>
      <c r="R6" s="9">
        <f t="shared" si="1"/>
        <v>0</v>
      </c>
    </row>
    <row r="7" spans="1:18" ht="18.95" customHeight="1">
      <c r="A7" s="10" t="s">
        <v>9</v>
      </c>
      <c r="B7" s="2">
        <v>24</v>
      </c>
      <c r="C7" s="3">
        <v>0.4</v>
      </c>
      <c r="D7" s="4">
        <f xml:space="preserve"> B7 * (1 + C7)</f>
        <v>33.599999999999994</v>
      </c>
      <c r="E7" s="5">
        <v>33.6</v>
      </c>
      <c r="F7" s="5">
        <v>28</v>
      </c>
      <c r="G7" s="5">
        <v>22</v>
      </c>
      <c r="H7" s="5">
        <v>17</v>
      </c>
      <c r="I7" s="4">
        <v>10</v>
      </c>
      <c r="J7" s="4">
        <v>5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</row>
    <row r="8" spans="1:18" ht="18.95" customHeight="1">
      <c r="A8" s="10" t="s">
        <v>10</v>
      </c>
      <c r="B8" s="2">
        <v>16</v>
      </c>
      <c r="C8" s="3">
        <v>0.3</v>
      </c>
      <c r="D8" s="4">
        <f t="shared" ref="D8" si="2" xml:space="preserve"> B8 * (1 + C8)</f>
        <v>20.8</v>
      </c>
      <c r="E8" s="5">
        <v>20.8</v>
      </c>
      <c r="F8" s="5">
        <v>20.8</v>
      </c>
      <c r="G8" s="5">
        <v>20.8</v>
      </c>
      <c r="H8" s="5">
        <v>20.8</v>
      </c>
      <c r="I8" s="5">
        <v>20.8</v>
      </c>
      <c r="J8" s="5">
        <v>20.8</v>
      </c>
      <c r="K8" s="11">
        <v>14</v>
      </c>
      <c r="L8" s="11">
        <v>8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</row>
    <row r="9" spans="1:18" ht="18.95" customHeight="1">
      <c r="A9" s="10" t="s">
        <v>11</v>
      </c>
      <c r="B9" s="2">
        <v>24</v>
      </c>
      <c r="C9" s="3">
        <v>0.3</v>
      </c>
      <c r="D9" s="4">
        <f xml:space="preserve"> B9 * (1 + C9)</f>
        <v>31.200000000000003</v>
      </c>
      <c r="E9" s="5">
        <v>31.2</v>
      </c>
      <c r="F9" s="5">
        <v>31.2</v>
      </c>
      <c r="G9" s="5">
        <v>31.2</v>
      </c>
      <c r="H9" s="5">
        <v>26</v>
      </c>
      <c r="I9" s="5">
        <v>20</v>
      </c>
      <c r="J9" s="5">
        <v>15</v>
      </c>
      <c r="K9" s="5">
        <v>13</v>
      </c>
      <c r="L9" s="11">
        <v>12</v>
      </c>
      <c r="M9" s="11">
        <v>6</v>
      </c>
      <c r="N9" s="4">
        <v>2</v>
      </c>
      <c r="O9" s="4">
        <v>0</v>
      </c>
      <c r="P9" s="4">
        <v>0</v>
      </c>
      <c r="Q9" s="4">
        <v>0</v>
      </c>
      <c r="R9" s="4">
        <v>0</v>
      </c>
    </row>
    <row r="10" spans="1:18" ht="18.95" customHeight="1">
      <c r="A10" s="6" t="s">
        <v>12</v>
      </c>
      <c r="B10" s="7">
        <f>SUM(B7:B9)</f>
        <v>64</v>
      </c>
      <c r="C10" s="8"/>
      <c r="D10" s="9">
        <f t="shared" ref="D10:R10" si="3">SUM(D7:D9)</f>
        <v>85.6</v>
      </c>
      <c r="E10" s="9">
        <f t="shared" si="3"/>
        <v>85.600000000000009</v>
      </c>
      <c r="F10" s="9">
        <f t="shared" si="3"/>
        <v>80</v>
      </c>
      <c r="G10" s="9">
        <f t="shared" si="3"/>
        <v>74</v>
      </c>
      <c r="H10" s="9">
        <f t="shared" si="3"/>
        <v>63.8</v>
      </c>
      <c r="I10" s="9">
        <f t="shared" si="3"/>
        <v>50.8</v>
      </c>
      <c r="J10" s="9">
        <f t="shared" si="3"/>
        <v>40.799999999999997</v>
      </c>
      <c r="K10" s="9">
        <f t="shared" si="3"/>
        <v>27</v>
      </c>
      <c r="L10" s="9">
        <f t="shared" si="3"/>
        <v>20</v>
      </c>
      <c r="M10" s="9">
        <f t="shared" si="3"/>
        <v>6</v>
      </c>
      <c r="N10" s="9">
        <f t="shared" si="3"/>
        <v>2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</row>
    <row r="11" spans="1:18" ht="18.95" customHeight="1">
      <c r="A11" s="10" t="s">
        <v>15</v>
      </c>
      <c r="B11" s="2">
        <v>24</v>
      </c>
      <c r="C11" s="3">
        <v>0.6</v>
      </c>
      <c r="D11" s="4">
        <f xml:space="preserve"> B11 * (1 + C11)</f>
        <v>38.400000000000006</v>
      </c>
      <c r="E11" s="5">
        <v>38.4</v>
      </c>
      <c r="F11" s="5">
        <v>30.4</v>
      </c>
      <c r="G11" s="5">
        <v>24</v>
      </c>
      <c r="H11" s="5">
        <v>19</v>
      </c>
      <c r="I11" s="5">
        <v>14</v>
      </c>
      <c r="J11" s="5">
        <v>8</v>
      </c>
      <c r="K11" s="11">
        <v>0</v>
      </c>
      <c r="L11" s="11">
        <v>0</v>
      </c>
      <c r="M11" s="11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</row>
    <row r="12" spans="1:18" ht="18.95" customHeight="1">
      <c r="A12" s="10" t="s">
        <v>13</v>
      </c>
      <c r="B12" s="2">
        <v>16</v>
      </c>
      <c r="C12" s="3">
        <v>0.4</v>
      </c>
      <c r="D12" s="4">
        <f xml:space="preserve"> B12 * (1 + C12)</f>
        <v>22.4</v>
      </c>
      <c r="E12" s="5">
        <v>22.4</v>
      </c>
      <c r="F12" s="5">
        <v>22.4</v>
      </c>
      <c r="G12" s="5">
        <v>22.4</v>
      </c>
      <c r="H12" s="5">
        <v>22.4</v>
      </c>
      <c r="I12" s="5">
        <v>22.4</v>
      </c>
      <c r="J12" s="5">
        <v>22.4</v>
      </c>
      <c r="K12" s="4">
        <v>18</v>
      </c>
      <c r="L12" s="4">
        <v>18</v>
      </c>
      <c r="M12" s="4">
        <v>10</v>
      </c>
      <c r="N12" s="4">
        <v>4</v>
      </c>
      <c r="O12" s="4">
        <v>0</v>
      </c>
      <c r="P12" s="4">
        <v>0</v>
      </c>
      <c r="Q12" s="4">
        <v>0</v>
      </c>
      <c r="R12" s="4">
        <v>0</v>
      </c>
    </row>
    <row r="13" spans="1:18" ht="18.95" customHeight="1">
      <c r="A13" s="10" t="s">
        <v>14</v>
      </c>
      <c r="B13" s="2">
        <v>16</v>
      </c>
      <c r="C13" s="3">
        <v>0.5</v>
      </c>
      <c r="D13" s="4">
        <f t="shared" ref="D13" si="4" xml:space="preserve"> B13 * (1 + C13)</f>
        <v>24</v>
      </c>
      <c r="E13" s="5">
        <v>24</v>
      </c>
      <c r="F13" s="5">
        <v>24</v>
      </c>
      <c r="G13" s="5">
        <v>24</v>
      </c>
      <c r="H13" s="5">
        <v>24</v>
      </c>
      <c r="I13" s="5">
        <v>24</v>
      </c>
      <c r="J13" s="5">
        <v>24</v>
      </c>
      <c r="K13" s="11">
        <v>20</v>
      </c>
      <c r="L13" s="11">
        <v>14</v>
      </c>
      <c r="M13" s="4">
        <v>11</v>
      </c>
      <c r="N13" s="4">
        <v>3</v>
      </c>
      <c r="O13" s="4">
        <v>2</v>
      </c>
      <c r="P13" s="4">
        <v>0</v>
      </c>
      <c r="Q13" s="4">
        <v>0</v>
      </c>
      <c r="R13" s="4">
        <v>0</v>
      </c>
    </row>
    <row r="14" spans="1:18" ht="18.95" customHeight="1">
      <c r="A14" s="6" t="s">
        <v>16</v>
      </c>
      <c r="B14" s="7">
        <f>SUM(B12:B13)</f>
        <v>32</v>
      </c>
      <c r="C14" s="8"/>
      <c r="D14" s="9">
        <f>SUM(D11:D13)</f>
        <v>84.800000000000011</v>
      </c>
      <c r="E14" s="9">
        <f t="shared" ref="E14:R14" si="5">SUM(E12:E13)</f>
        <v>46.4</v>
      </c>
      <c r="F14" s="9">
        <f t="shared" si="5"/>
        <v>46.4</v>
      </c>
      <c r="G14" s="9">
        <f t="shared" si="5"/>
        <v>46.4</v>
      </c>
      <c r="H14" s="9">
        <f t="shared" si="5"/>
        <v>46.4</v>
      </c>
      <c r="I14" s="9">
        <f t="shared" si="5"/>
        <v>46.4</v>
      </c>
      <c r="J14" s="9">
        <f t="shared" si="5"/>
        <v>46.4</v>
      </c>
      <c r="K14" s="9">
        <f t="shared" si="5"/>
        <v>38</v>
      </c>
      <c r="L14" s="9">
        <f t="shared" si="5"/>
        <v>32</v>
      </c>
      <c r="M14" s="9">
        <f t="shared" si="5"/>
        <v>21</v>
      </c>
      <c r="N14" s="9">
        <f t="shared" si="5"/>
        <v>7</v>
      </c>
      <c r="O14" s="9">
        <f t="shared" si="5"/>
        <v>2</v>
      </c>
      <c r="P14" s="9">
        <f t="shared" si="5"/>
        <v>0</v>
      </c>
      <c r="Q14" s="9">
        <f t="shared" si="5"/>
        <v>0</v>
      </c>
      <c r="R14" s="9">
        <f t="shared" si="5"/>
        <v>0</v>
      </c>
    </row>
    <row r="15" spans="1:18" ht="18.95" customHeight="1">
      <c r="A15" s="10" t="s">
        <v>17</v>
      </c>
      <c r="B15" s="2">
        <v>40</v>
      </c>
      <c r="C15" s="3">
        <v>0.3</v>
      </c>
      <c r="D15" s="4">
        <f xml:space="preserve"> B15 * (1 + C15)</f>
        <v>52</v>
      </c>
      <c r="E15" s="5">
        <v>52</v>
      </c>
      <c r="F15" s="5">
        <v>44</v>
      </c>
      <c r="G15" s="5">
        <v>37</v>
      </c>
      <c r="H15" s="11">
        <v>30</v>
      </c>
      <c r="I15" s="4">
        <v>26</v>
      </c>
      <c r="J15" s="4">
        <v>18</v>
      </c>
      <c r="K15" s="4">
        <v>10</v>
      </c>
      <c r="L15" s="4">
        <v>4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</row>
    <row r="16" spans="1:18" ht="18.95" customHeight="1">
      <c r="A16" s="10" t="s">
        <v>18</v>
      </c>
      <c r="B16" s="2">
        <v>16</v>
      </c>
      <c r="C16" s="3">
        <v>0.4</v>
      </c>
      <c r="D16" s="4">
        <f t="shared" ref="D16" si="6" xml:space="preserve"> B16 * (1 + C16)</f>
        <v>22.4</v>
      </c>
      <c r="E16" s="5">
        <v>22.4</v>
      </c>
      <c r="F16" s="5">
        <v>22.4</v>
      </c>
      <c r="G16" s="5">
        <v>22.4</v>
      </c>
      <c r="H16" s="5">
        <v>22.4</v>
      </c>
      <c r="I16" s="5">
        <v>22.4</v>
      </c>
      <c r="J16" s="5">
        <v>22.4</v>
      </c>
      <c r="K16" s="5">
        <v>22.4</v>
      </c>
      <c r="L16" s="5">
        <v>22.4</v>
      </c>
      <c r="M16" s="4">
        <v>14</v>
      </c>
      <c r="N16" s="4">
        <v>6</v>
      </c>
      <c r="O16" s="4">
        <v>2</v>
      </c>
      <c r="P16" s="4">
        <v>0</v>
      </c>
      <c r="Q16" s="4">
        <v>0</v>
      </c>
      <c r="R16" s="4">
        <v>0</v>
      </c>
    </row>
    <row r="17" spans="1:18" ht="18.95" customHeight="1">
      <c r="A17" s="10" t="s">
        <v>19</v>
      </c>
      <c r="B17" s="2">
        <v>16</v>
      </c>
      <c r="C17" s="3">
        <v>0.1</v>
      </c>
      <c r="D17" s="4">
        <f xml:space="preserve"> B17 * (1 + C17)</f>
        <v>17.600000000000001</v>
      </c>
      <c r="E17" s="5">
        <v>17.600000000000001</v>
      </c>
      <c r="F17" s="5">
        <v>17.600000000000001</v>
      </c>
      <c r="G17" s="5">
        <v>17.600000000000001</v>
      </c>
      <c r="H17" s="11">
        <v>0</v>
      </c>
      <c r="I17" s="5">
        <v>17.600000000000001</v>
      </c>
      <c r="J17" s="5">
        <v>17.600000000000001</v>
      </c>
      <c r="K17" s="5">
        <v>17.600000000000001</v>
      </c>
      <c r="L17" s="5">
        <v>17.600000000000001</v>
      </c>
      <c r="M17" s="5">
        <v>17.600000000000001</v>
      </c>
      <c r="N17" s="5">
        <v>17.600000000000001</v>
      </c>
      <c r="O17" s="5">
        <v>17.600000000000001</v>
      </c>
      <c r="P17" s="4">
        <v>12</v>
      </c>
      <c r="Q17" s="4">
        <v>4</v>
      </c>
      <c r="R17" s="4">
        <v>0</v>
      </c>
    </row>
    <row r="18" spans="1:18" ht="18.95" customHeight="1">
      <c r="A18" s="6" t="s">
        <v>20</v>
      </c>
      <c r="B18" s="7">
        <f>SUM(B15:B17)</f>
        <v>72</v>
      </c>
      <c r="C18" s="8"/>
      <c r="D18" s="9">
        <f>SUM(D15:D17)</f>
        <v>92</v>
      </c>
      <c r="E18" s="9">
        <f>SUM(E15:E17)</f>
        <v>92</v>
      </c>
      <c r="F18" s="9">
        <f t="shared" ref="F18:R18" si="7">SUM(F15:F17)</f>
        <v>84</v>
      </c>
      <c r="G18" s="9">
        <f t="shared" si="7"/>
        <v>77</v>
      </c>
      <c r="H18" s="9">
        <f t="shared" si="7"/>
        <v>52.4</v>
      </c>
      <c r="I18" s="9">
        <f t="shared" si="7"/>
        <v>66</v>
      </c>
      <c r="J18" s="9">
        <f t="shared" si="7"/>
        <v>58</v>
      </c>
      <c r="K18" s="9">
        <f t="shared" si="7"/>
        <v>50</v>
      </c>
      <c r="L18" s="9">
        <f t="shared" si="7"/>
        <v>44</v>
      </c>
      <c r="M18" s="9">
        <f t="shared" si="7"/>
        <v>31.6</v>
      </c>
      <c r="N18" s="9">
        <f t="shared" si="7"/>
        <v>23.6</v>
      </c>
      <c r="O18" s="9">
        <f t="shared" si="7"/>
        <v>19.600000000000001</v>
      </c>
      <c r="P18" s="9">
        <f t="shared" si="7"/>
        <v>12</v>
      </c>
      <c r="Q18" s="9">
        <f t="shared" si="7"/>
        <v>4</v>
      </c>
      <c r="R18" s="9">
        <f t="shared" si="7"/>
        <v>0</v>
      </c>
    </row>
    <row r="21" spans="1:18">
      <c r="D21" s="12"/>
    </row>
  </sheetData>
  <mergeCells count="5">
    <mergeCell ref="A1:A2"/>
    <mergeCell ref="B1:B2"/>
    <mergeCell ref="C1:C2"/>
    <mergeCell ref="D1:D2"/>
    <mergeCell ref="E1:R1"/>
  </mergeCells>
  <conditionalFormatting sqref="E3:R5 E7:R9 E11:R13 E15:R17">
    <cfRule type="cellIs" dxfId="0" priority="1" operator="not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bartek lipinski</cp:lastModifiedBy>
  <cp:revision/>
  <cp:lastPrinted>2026-01-18T21:35:36Z</cp:lastPrinted>
  <dcterms:created xsi:type="dcterms:W3CDTF">2025-11-28T14:53:11Z</dcterms:created>
  <dcterms:modified xsi:type="dcterms:W3CDTF">2026-01-18T21:36:25Z</dcterms:modified>
  <cp:category/>
  <cp:contentStatus/>
</cp:coreProperties>
</file>
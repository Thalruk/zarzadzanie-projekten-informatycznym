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A7D32F58-56CB-4940-9FA6-034C9606FB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5" i="1"/>
  <c r="K25" i="1"/>
  <c r="N25" i="1" s="1"/>
  <c r="N24" i="1"/>
  <c r="N23" i="1"/>
  <c r="N22" i="1"/>
  <c r="N21" i="1"/>
  <c r="N20" i="1"/>
  <c r="M17" i="1"/>
  <c r="L17" i="1"/>
  <c r="K17" i="1"/>
  <c r="N17" i="1" s="1"/>
  <c r="N16" i="1"/>
  <c r="N15" i="1"/>
  <c r="N14" i="1"/>
  <c r="N13" i="1"/>
  <c r="N12" i="1"/>
  <c r="N8" i="1"/>
  <c r="N7" i="1"/>
  <c r="N6" i="1"/>
  <c r="N5" i="1"/>
  <c r="N4" i="1"/>
  <c r="M9" i="1"/>
  <c r="L9" i="1"/>
  <c r="K9" i="1"/>
  <c r="N9" i="1" s="1"/>
  <c r="E9" i="1"/>
  <c r="D9" i="1"/>
  <c r="C9" i="1"/>
</calcChain>
</file>

<file path=xl/sharedStrings.xml><?xml version="1.0" encoding="utf-8"?>
<sst xmlns="http://schemas.openxmlformats.org/spreadsheetml/2006/main" count="31" uniqueCount="28">
  <si>
    <t>Stanowisko</t>
  </si>
  <si>
    <t>Wynagrodzenie netto</t>
  </si>
  <si>
    <t>Wynagrodzenie brutto</t>
  </si>
  <si>
    <t>Koszt pracodawcy</t>
  </si>
  <si>
    <t>Wykształcenie</t>
  </si>
  <si>
    <t>Doświadczenie (lata)</t>
  </si>
  <si>
    <t>Umiejętności</t>
  </si>
  <si>
    <t>Brutto</t>
  </si>
  <si>
    <t>Database Developer</t>
  </si>
  <si>
    <t>Wyższe, magister</t>
  </si>
  <si>
    <t>MySQL, PostgreSQL, SQL, optymalizacja zapytań</t>
  </si>
  <si>
    <t>Front-end Developer</t>
  </si>
  <si>
    <t>Wyższe, licencjat</t>
  </si>
  <si>
    <t>HTML5, CSS3, JavaScript, React</t>
  </si>
  <si>
    <t>Back-end Developer</t>
  </si>
  <si>
    <t>ASP.NET Core, Node.js, C#, REST API</t>
  </si>
  <si>
    <t>Tester / QA</t>
  </si>
  <si>
    <t>Testy funkcjonalne, testy regresyjne</t>
  </si>
  <si>
    <t>Scrum Master</t>
  </si>
  <si>
    <t>Zarządzanie SCRUM, MS Project, Agile</t>
  </si>
  <si>
    <t>Netto</t>
  </si>
  <si>
    <t>Źródła:</t>
  </si>
  <si>
    <t>Bulldogjob — raport/sumy płac IT (frontend/tester dane).</t>
  </si>
  <si>
    <t>NoFluffJobs — aktualne oferty z widełkami (Front-end, Seniory w Warszawie).</t>
  </si>
  <si>
    <t>ITselecta / local salary overviews (2025).</t>
  </si>
  <si>
    <t>Hays / Antal salary guides (rynek IT, Scrum Master).</t>
  </si>
  <si>
    <t>Informacje o składkach pracodawcy / ZUS / PwC: PwC / Dudkowiak / oficjalne ZUS — potwierdzające ~19–22% obciążeń pracodawcy w 2025.</t>
  </si>
  <si>
    <t>Koszty pracodawcy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</si>
</sst>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8" fontId="0" fillId="4" borderId="6" xfId="0" applyNumberFormat="1" applyFill="1" applyBorder="1"/>
    <xf numFmtId="0" fontId="0" fillId="4" borderId="6" xfId="0" applyFill="1" applyBorder="1"/>
    <xf numFmtId="0" fontId="0" fillId="4" borderId="7" xfId="0" applyFill="1" applyBorder="1" applyAlignment="1">
      <alignment wrapText="1"/>
    </xf>
    <xf numFmtId="0" fontId="0" fillId="4" borderId="7" xfId="0" applyFill="1" applyBorder="1"/>
    <xf numFmtId="8" fontId="0" fillId="4" borderId="5" xfId="0" applyNumberFormat="1" applyFill="1" applyBorder="1"/>
    <xf numFmtId="0" fontId="0" fillId="4" borderId="9" xfId="0" applyFill="1" applyBorder="1"/>
    <xf numFmtId="8" fontId="0" fillId="4" borderId="9" xfId="0" applyNumberFormat="1" applyFill="1" applyBorder="1"/>
    <xf numFmtId="0" fontId="0" fillId="4" borderId="10" xfId="0" applyFill="1" applyBorder="1"/>
    <xf numFmtId="8" fontId="0" fillId="2" borderId="11" xfId="0" applyNumberFormat="1" applyFill="1" applyBorder="1"/>
    <xf numFmtId="8" fontId="0" fillId="2" borderId="12" xfId="0" applyNumberFormat="1" applyFill="1" applyBorder="1"/>
    <xf numFmtId="0" fontId="0" fillId="3" borderId="8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8" fontId="0" fillId="4" borderId="17" xfId="0" applyNumberFormat="1" applyFill="1" applyBorder="1"/>
    <xf numFmtId="17" fontId="0" fillId="0" borderId="0" xfId="0" applyNumberFormat="1"/>
    <xf numFmtId="8" fontId="0" fillId="0" borderId="0" xfId="0" applyNumberFormat="1"/>
    <xf numFmtId="0" fontId="1" fillId="0" borderId="0" xfId="0" applyFont="1"/>
    <xf numFmtId="17" fontId="0" fillId="2" borderId="14" xfId="0" applyNumberFormat="1" applyFill="1" applyBorder="1"/>
    <xf numFmtId="17" fontId="0" fillId="2" borderId="15" xfId="0" applyNumberFormat="1" applyFill="1" applyBorder="1"/>
    <xf numFmtId="8" fontId="0" fillId="4" borderId="2" xfId="0" applyNumberFormat="1" applyFill="1" applyBorder="1"/>
    <xf numFmtId="8" fontId="2" fillId="0" borderId="0" xfId="0" applyNumberFormat="1" applyFont="1"/>
    <xf numFmtId="8" fontId="0" fillId="4" borderId="8" xfId="0" applyNumberFormat="1" applyFill="1" applyBorder="1"/>
    <xf numFmtId="8" fontId="0" fillId="4" borderId="16" xfId="0" applyNumberFormat="1" applyFill="1" applyBorder="1"/>
    <xf numFmtId="8" fontId="0" fillId="4" borderId="1" xfId="0" applyNumberFormat="1" applyFill="1" applyBorder="1"/>
    <xf numFmtId="8" fontId="0" fillId="2" borderId="18" xfId="0" applyNumberFormat="1" applyFill="1" applyBorder="1"/>
    <xf numFmtId="8" fontId="0" fillId="2" borderId="20" xfId="0" applyNumberFormat="1" applyFill="1" applyBorder="1"/>
    <xf numFmtId="8" fontId="0" fillId="2" borderId="21" xfId="0" applyNumberFormat="1" applyFill="1" applyBorder="1"/>
    <xf numFmtId="8" fontId="0" fillId="5" borderId="19" xfId="0" applyNumberFormat="1" applyFill="1" applyBorder="1"/>
    <xf numFmtId="0" fontId="0" fillId="0" borderId="0" xfId="0" applyAlignment="1">
      <alignment wrapText="1"/>
    </xf>
    <xf numFmtId="17" fontId="0" fillId="6" borderId="19" xfId="0" applyNumberFormat="1" applyFill="1" applyBorder="1"/>
    <xf numFmtId="17" fontId="0" fillId="2" borderId="22" xfId="0" applyNumberFormat="1" applyFill="1" applyBorder="1"/>
    <xf numFmtId="8" fontId="0" fillId="2" borderId="23" xfId="0" applyNumberFormat="1" applyFill="1" applyBorder="1"/>
    <xf numFmtId="17" fontId="0" fillId="6" borderId="19" xfId="0" applyNumberForma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25"/>
  <sheetViews>
    <sheetView tabSelected="1" workbookViewId="0">
      <selection activeCell="D17" sqref="D17:D22"/>
    </sheetView>
  </sheetViews>
  <sheetFormatPr defaultRowHeight="15"/>
  <cols>
    <col min="2" max="2" width="18.28515625" bestFit="1" customWidth="1"/>
    <col min="3" max="3" width="20.5703125" customWidth="1"/>
    <col min="4" max="4" width="21.42578125" customWidth="1"/>
    <col min="5" max="5" width="17.42578125" customWidth="1"/>
    <col min="6" max="6" width="18.85546875" customWidth="1"/>
    <col min="7" max="7" width="18.5703125" bestFit="1" customWidth="1"/>
    <col min="8" max="8" width="36.28515625" customWidth="1"/>
    <col min="11" max="13" width="11.140625" bestFit="1" customWidth="1"/>
    <col min="14" max="14" width="15.5703125" customWidth="1"/>
    <col min="15" max="15" width="13.28515625" customWidth="1"/>
    <col min="16" max="16" width="10.140625" bestFit="1" customWidth="1"/>
    <col min="19" max="19" width="55.140625" customWidth="1"/>
  </cols>
  <sheetData>
    <row r="3" spans="2:19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K3" s="23">
        <v>45901</v>
      </c>
      <c r="L3" s="24">
        <v>45931</v>
      </c>
      <c r="M3" s="36">
        <v>45962</v>
      </c>
      <c r="N3" s="35" t="s">
        <v>7</v>
      </c>
      <c r="O3" s="20"/>
      <c r="P3" s="20"/>
      <c r="Q3" s="20"/>
    </row>
    <row r="4" spans="2:19" ht="29.25">
      <c r="B4" s="4" t="s">
        <v>8</v>
      </c>
      <c r="C4" s="5">
        <v>9940</v>
      </c>
      <c r="D4" s="5">
        <v>14000</v>
      </c>
      <c r="E4" s="5">
        <v>17080</v>
      </c>
      <c r="F4" s="6" t="s">
        <v>9</v>
      </c>
      <c r="G4" s="6">
        <v>4</v>
      </c>
      <c r="H4" s="7" t="s">
        <v>10</v>
      </c>
      <c r="K4" s="25">
        <v>1272.73</v>
      </c>
      <c r="L4" s="28">
        <v>14000</v>
      </c>
      <c r="M4" s="28">
        <v>10500</v>
      </c>
      <c r="N4" s="37">
        <f>SUM(K4:M4)</f>
        <v>25772.73</v>
      </c>
    </row>
    <row r="5" spans="2:19">
      <c r="B5" s="4" t="s">
        <v>11</v>
      </c>
      <c r="C5" s="5">
        <v>8520</v>
      </c>
      <c r="D5" s="5">
        <v>12000</v>
      </c>
      <c r="E5" s="5">
        <v>14640</v>
      </c>
      <c r="F5" s="6" t="s">
        <v>12</v>
      </c>
      <c r="G5" s="6">
        <v>3</v>
      </c>
      <c r="H5" s="8" t="s">
        <v>13</v>
      </c>
      <c r="K5" s="9">
        <v>1090.9100000000001</v>
      </c>
      <c r="L5" s="19">
        <v>12000</v>
      </c>
      <c r="M5" s="19">
        <v>9000</v>
      </c>
      <c r="N5" s="30">
        <f>SUM(K5:M5)</f>
        <v>22090.91</v>
      </c>
    </row>
    <row r="6" spans="2:19">
      <c r="B6" s="4" t="s">
        <v>14</v>
      </c>
      <c r="C6" s="5">
        <v>9230</v>
      </c>
      <c r="D6" s="5">
        <v>13000</v>
      </c>
      <c r="E6" s="5">
        <v>15860</v>
      </c>
      <c r="F6" s="6" t="s">
        <v>9</v>
      </c>
      <c r="G6" s="6">
        <v>4</v>
      </c>
      <c r="H6" s="8" t="s">
        <v>15</v>
      </c>
      <c r="K6" s="9">
        <v>1181.82</v>
      </c>
      <c r="L6" s="19">
        <v>13000</v>
      </c>
      <c r="M6" s="19">
        <v>9750</v>
      </c>
      <c r="N6" s="30">
        <f>SUM(K6:M6)</f>
        <v>23931.82</v>
      </c>
    </row>
    <row r="7" spans="2:19">
      <c r="B7" s="4" t="s">
        <v>16</v>
      </c>
      <c r="C7" s="5">
        <v>5680</v>
      </c>
      <c r="D7" s="5">
        <v>8000</v>
      </c>
      <c r="E7" s="5">
        <v>9760</v>
      </c>
      <c r="F7" s="6" t="s">
        <v>12</v>
      </c>
      <c r="G7" s="6">
        <v>2</v>
      </c>
      <c r="H7" s="8" t="s">
        <v>17</v>
      </c>
      <c r="K7" s="9">
        <v>727.27</v>
      </c>
      <c r="L7" s="19">
        <v>8000</v>
      </c>
      <c r="M7" s="19">
        <v>6000</v>
      </c>
      <c r="N7" s="30">
        <f>SUM(K7:M7)</f>
        <v>14727.27</v>
      </c>
      <c r="O7" s="21"/>
      <c r="P7" s="21"/>
    </row>
    <row r="8" spans="2:19">
      <c r="B8" s="15" t="s">
        <v>18</v>
      </c>
      <c r="C8" s="11">
        <v>8520</v>
      </c>
      <c r="D8" s="11">
        <v>12000</v>
      </c>
      <c r="E8" s="11">
        <v>14640</v>
      </c>
      <c r="F8" s="10" t="s">
        <v>9</v>
      </c>
      <c r="G8" s="10">
        <v>3</v>
      </c>
      <c r="H8" s="12" t="s">
        <v>19</v>
      </c>
      <c r="K8" s="27">
        <v>1090.9100000000001</v>
      </c>
      <c r="L8" s="29">
        <v>12000</v>
      </c>
      <c r="M8" s="29">
        <v>9000</v>
      </c>
      <c r="N8" s="32">
        <f>SUM(K8:M8)</f>
        <v>22090.91</v>
      </c>
      <c r="O8" s="21"/>
    </row>
    <row r="9" spans="2:19">
      <c r="B9" s="16"/>
      <c r="C9" s="14">
        <f>SUM(C4:C8)</f>
        <v>41890</v>
      </c>
      <c r="D9" s="14">
        <f>SUM(D4:D8)</f>
        <v>59000</v>
      </c>
      <c r="E9" s="14">
        <f>SUM(E4:E8)</f>
        <v>71980</v>
      </c>
      <c r="F9" s="17"/>
      <c r="G9" s="17"/>
      <c r="H9" s="18"/>
      <c r="K9" s="13">
        <f>SUM(K4:K8)</f>
        <v>5363.6399999999994</v>
      </c>
      <c r="L9" s="31">
        <f t="shared" ref="L9:M9" si="0">SUM(L4:L8)</f>
        <v>59000</v>
      </c>
      <c r="M9" s="31">
        <f t="shared" si="0"/>
        <v>44250</v>
      </c>
      <c r="N9" s="33">
        <f>SUM(K9:M9)</f>
        <v>108613.64</v>
      </c>
      <c r="O9" s="21"/>
      <c r="P9" s="21"/>
      <c r="Q9" s="21"/>
    </row>
    <row r="10" spans="2:19">
      <c r="K10" s="26"/>
      <c r="L10" s="26"/>
      <c r="M10" s="22"/>
      <c r="N10" s="22"/>
      <c r="O10" s="22"/>
      <c r="P10" s="22"/>
      <c r="Q10" s="22"/>
    </row>
    <row r="11" spans="2:19">
      <c r="K11" s="23">
        <v>45901</v>
      </c>
      <c r="L11" s="24">
        <v>45931</v>
      </c>
      <c r="M11" s="36">
        <v>45962</v>
      </c>
      <c r="N11" s="35" t="s">
        <v>20</v>
      </c>
    </row>
    <row r="12" spans="2:19">
      <c r="K12" s="25">
        <v>903.64</v>
      </c>
      <c r="L12" s="28">
        <v>9940</v>
      </c>
      <c r="M12" s="28">
        <v>7455</v>
      </c>
      <c r="N12" s="37">
        <f>SUM(K12:M12)</f>
        <v>18298.64</v>
      </c>
      <c r="S12" t="s">
        <v>21</v>
      </c>
    </row>
    <row r="13" spans="2:19">
      <c r="K13" s="9">
        <v>774.05</v>
      </c>
      <c r="L13" s="19">
        <v>8520</v>
      </c>
      <c r="M13" s="19">
        <v>6390</v>
      </c>
      <c r="N13" s="30">
        <f>SUM(K13:M13)</f>
        <v>15684.05</v>
      </c>
      <c r="S13" t="s">
        <v>22</v>
      </c>
    </row>
    <row r="14" spans="2:19" ht="17.25" customHeight="1">
      <c r="K14" s="9">
        <v>838.09</v>
      </c>
      <c r="L14" s="19">
        <v>9230</v>
      </c>
      <c r="M14" s="19">
        <v>6922.5</v>
      </c>
      <c r="N14" s="30">
        <f>SUM(K14:M14)</f>
        <v>16990.59</v>
      </c>
      <c r="S14" s="34" t="s">
        <v>23</v>
      </c>
    </row>
    <row r="15" spans="2:19">
      <c r="K15" s="9">
        <v>516.36</v>
      </c>
      <c r="L15" s="19">
        <v>5680</v>
      </c>
      <c r="M15" s="19">
        <v>4260</v>
      </c>
      <c r="N15" s="30">
        <f>SUM(K15:M15)</f>
        <v>10456.36</v>
      </c>
      <c r="S15" t="s">
        <v>24</v>
      </c>
    </row>
    <row r="16" spans="2:19">
      <c r="K16" s="27">
        <v>774.05</v>
      </c>
      <c r="L16" s="29">
        <v>8520</v>
      </c>
      <c r="M16" s="29">
        <v>6390</v>
      </c>
      <c r="N16" s="32">
        <f>SUM(K16:M16)</f>
        <v>15684.05</v>
      </c>
      <c r="S16" t="s">
        <v>25</v>
      </c>
    </row>
    <row r="17" spans="11:19" ht="48" customHeight="1">
      <c r="K17" s="13">
        <f>SUM(K12:K16)</f>
        <v>3806.1900000000005</v>
      </c>
      <c r="L17" s="31">
        <f t="shared" ref="L17:M17" si="1">SUM(L12:L16)</f>
        <v>41890</v>
      </c>
      <c r="M17" s="31">
        <f t="shared" si="1"/>
        <v>31417.5</v>
      </c>
      <c r="N17" s="33">
        <f>SUM(K17:M17)</f>
        <v>77113.69</v>
      </c>
      <c r="S17" s="34" t="s">
        <v>26</v>
      </c>
    </row>
    <row r="19" spans="11:19" ht="29.25">
      <c r="K19" s="23">
        <v>45901</v>
      </c>
      <c r="L19" s="24">
        <v>45931</v>
      </c>
      <c r="M19" s="36">
        <v>45962</v>
      </c>
      <c r="N19" s="38" t="s">
        <v>27</v>
      </c>
    </row>
    <row r="20" spans="11:19">
      <c r="K20" s="25">
        <v>1553.64</v>
      </c>
      <c r="L20" s="28">
        <v>17080</v>
      </c>
      <c r="M20" s="28">
        <v>12810</v>
      </c>
      <c r="N20" s="37">
        <f>SUM(K20:M20)</f>
        <v>31443.64</v>
      </c>
    </row>
    <row r="21" spans="11:19">
      <c r="K21" s="9">
        <v>1333.64</v>
      </c>
      <c r="L21" s="19">
        <v>14640</v>
      </c>
      <c r="M21" s="19">
        <v>11016</v>
      </c>
      <c r="N21" s="30">
        <f>SUM(K21:M21)</f>
        <v>26989.64</v>
      </c>
    </row>
    <row r="22" spans="11:19">
      <c r="K22" s="9">
        <v>1441.82</v>
      </c>
      <c r="L22" s="19">
        <v>15860</v>
      </c>
      <c r="M22" s="19">
        <v>11895</v>
      </c>
      <c r="N22" s="30">
        <f>SUM(K22:M22)</f>
        <v>29196.82</v>
      </c>
    </row>
    <row r="23" spans="11:19">
      <c r="K23" s="9">
        <v>887.27</v>
      </c>
      <c r="L23" s="19">
        <v>9760</v>
      </c>
      <c r="M23" s="19">
        <v>7320</v>
      </c>
      <c r="N23" s="30">
        <f>SUM(K23:M23)</f>
        <v>17967.27</v>
      </c>
    </row>
    <row r="24" spans="11:19">
      <c r="K24" s="27">
        <v>1333.64</v>
      </c>
      <c r="L24" s="29">
        <v>14640</v>
      </c>
      <c r="M24" s="29">
        <v>11016</v>
      </c>
      <c r="N24" s="32">
        <f>SUM(K24:M24)</f>
        <v>26989.64</v>
      </c>
    </row>
    <row r="25" spans="11:19">
      <c r="K25" s="13">
        <f>SUM(K20:K24)</f>
        <v>6550.0100000000011</v>
      </c>
      <c r="L25" s="31">
        <f t="shared" ref="L25:M25" si="2">SUM(L20:L24)</f>
        <v>71980</v>
      </c>
      <c r="M25" s="31">
        <f t="shared" si="2"/>
        <v>54057</v>
      </c>
      <c r="N25" s="33">
        <f>SUM(K25:M25)</f>
        <v>132587.01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2025-11-27T13:53:44Z</dcterms:created>
  <dcterms:modified xsi:type="dcterms:W3CDTF">2026-01-21T14:11:59Z</dcterms:modified>
  <cp:category/>
  <cp:contentStatus/>
</cp:coreProperties>
</file>
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523"/>
  <workbookPr/>
  <xr:revisionPtr revIDLastSave="144" documentId="11_9D5355BF84DCCE53631DEA188F31F45B3A7E0439" xr6:coauthVersionLast="47" xr6:coauthVersionMax="47" xr10:uidLastSave="{C36B1286-C04B-43C0-9EE1-35A6A8155976}"/>
  <bookViews>
    <workbookView xWindow="240" yWindow="105" windowWidth="14805" windowHeight="8010" xr2:uid="{00000000-000D-0000-FFFF-FFFF00000000}"/>
  </bookViews>
  <sheets>
    <sheet name="Arkusz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5" i="1" l="1"/>
  <c r="M6" i="1"/>
  <c r="M7" i="1"/>
  <c r="M8" i="1"/>
  <c r="M9" i="1"/>
  <c r="M4" i="1"/>
  <c r="L9" i="1"/>
  <c r="K9" i="1"/>
  <c r="E9" i="1"/>
  <c r="D9" i="1"/>
  <c r="C9" i="1"/>
</calcChain>
</file>

<file path=xl/sharedStrings.xml><?xml version="1.0" encoding="utf-8"?>
<sst xmlns="http://schemas.openxmlformats.org/spreadsheetml/2006/main" count="22" uniqueCount="19">
  <si>
    <t>Stanowisko</t>
  </si>
  <si>
    <t>Wynagrodzenie netto</t>
  </si>
  <si>
    <t>Wynagrodzenie brutto</t>
  </si>
  <si>
    <t>Koszt pracodawcy</t>
  </si>
  <si>
    <t>Wykształcenie</t>
  </si>
  <si>
    <t>Doświadczenie (lata)</t>
  </si>
  <si>
    <t>Umiejętności</t>
  </si>
  <si>
    <t>Database Developer</t>
  </si>
  <si>
    <t>Wyższe, magister</t>
  </si>
  <si>
    <t>MySQL, PostgreSQL, SQL, optymalizacja zapytań</t>
  </si>
  <si>
    <t>Front-end Developer</t>
  </si>
  <si>
    <t>Wyższe, licencjat</t>
  </si>
  <si>
    <t>HTML5, CSS3, JavaScript, React</t>
  </si>
  <si>
    <t>Back-end Developer</t>
  </si>
  <si>
    <t>ASP.NET Core, Node.js, C#, REST API</t>
  </si>
  <si>
    <t>Tester / QA</t>
  </si>
  <si>
    <t>Testy funkcjonalne, testy regresyjne</t>
  </si>
  <si>
    <t>Scrum Master</t>
  </si>
  <si>
    <t>Zarządzanie SCRUM, MS Project, Agile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</si>
</sst>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#,##0.00\ &quot;zł&quot;;[Red]\-#,##0.00\ &quot;zł&quot;"/>
  </numFmts>
  <fonts count="3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4" tint="0.39997558519241921"/>
        <bgColor indexed="64"/>
      </patternFill>
    </fill>
  </fills>
  <borders count="23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36">
    <xf numFmtId="0" fontId="0" fillId="0" borderId="0" xfId="0"/>
    <xf numFmtId="0" fontId="0" fillId="2" borderId="2" xfId="0" applyFill="1" applyBorder="1"/>
    <xf numFmtId="0" fontId="0" fillId="2" borderId="3" xfId="0" applyFill="1" applyBorder="1"/>
    <xf numFmtId="0" fontId="0" fillId="2" borderId="4" xfId="0" applyFill="1" applyBorder="1"/>
    <xf numFmtId="0" fontId="0" fillId="3" borderId="5" xfId="0" applyFill="1" applyBorder="1"/>
    <xf numFmtId="8" fontId="0" fillId="4" borderId="6" xfId="0" applyNumberFormat="1" applyFill="1" applyBorder="1"/>
    <xf numFmtId="0" fontId="0" fillId="4" borderId="6" xfId="0" applyFill="1" applyBorder="1"/>
    <xf numFmtId="0" fontId="0" fillId="4" borderId="7" xfId="0" applyFill="1" applyBorder="1" applyAlignment="1">
      <alignment wrapText="1"/>
    </xf>
    <xf numFmtId="0" fontId="0" fillId="4" borderId="7" xfId="0" applyFill="1" applyBorder="1"/>
    <xf numFmtId="8" fontId="0" fillId="4" borderId="5" xfId="0" applyNumberFormat="1" applyFill="1" applyBorder="1"/>
    <xf numFmtId="0" fontId="0" fillId="4" borderId="9" xfId="0" applyFill="1" applyBorder="1"/>
    <xf numFmtId="8" fontId="0" fillId="4" borderId="9" xfId="0" applyNumberFormat="1" applyFill="1" applyBorder="1"/>
    <xf numFmtId="0" fontId="0" fillId="4" borderId="10" xfId="0" applyFill="1" applyBorder="1"/>
    <xf numFmtId="8" fontId="0" fillId="2" borderId="11" xfId="0" applyNumberFormat="1" applyFill="1" applyBorder="1"/>
    <xf numFmtId="8" fontId="0" fillId="2" borderId="12" xfId="0" applyNumberFormat="1" applyFill="1" applyBorder="1"/>
    <xf numFmtId="0" fontId="0" fillId="3" borderId="8" xfId="0" applyFill="1" applyBorder="1"/>
    <xf numFmtId="0" fontId="0" fillId="2" borderId="11" xfId="0" applyFill="1" applyBorder="1"/>
    <xf numFmtId="0" fontId="0" fillId="2" borderId="12" xfId="0" applyFill="1" applyBorder="1"/>
    <xf numFmtId="0" fontId="0" fillId="2" borderId="13" xfId="0" applyFill="1" applyBorder="1"/>
    <xf numFmtId="8" fontId="0" fillId="4" borderId="17" xfId="0" applyNumberFormat="1" applyFill="1" applyBorder="1"/>
    <xf numFmtId="17" fontId="0" fillId="0" borderId="0" xfId="0" applyNumberFormat="1" applyFill="1" applyBorder="1"/>
    <xf numFmtId="8" fontId="0" fillId="0" borderId="0" xfId="0" applyNumberFormat="1" applyFill="1" applyBorder="1"/>
    <xf numFmtId="0" fontId="0" fillId="0" borderId="0" xfId="0" applyFill="1" applyBorder="1"/>
    <xf numFmtId="0" fontId="1" fillId="0" borderId="0" xfId="0" applyFont="1" applyFill="1" applyBorder="1" applyAlignment="1"/>
    <xf numFmtId="17" fontId="0" fillId="2" borderId="14" xfId="0" applyNumberFormat="1" applyFill="1" applyBorder="1"/>
    <xf numFmtId="17" fontId="0" fillId="2" borderId="15" xfId="0" applyNumberFormat="1" applyFill="1" applyBorder="1"/>
    <xf numFmtId="8" fontId="0" fillId="4" borderId="2" xfId="0" applyNumberFormat="1" applyFill="1" applyBorder="1"/>
    <xf numFmtId="8" fontId="2" fillId="0" borderId="0" xfId="0" applyNumberFormat="1" applyFont="1" applyFill="1" applyBorder="1" applyAlignment="1"/>
    <xf numFmtId="8" fontId="0" fillId="4" borderId="8" xfId="0" applyNumberFormat="1" applyFill="1" applyBorder="1"/>
    <xf numFmtId="8" fontId="0" fillId="4" borderId="16" xfId="0" applyNumberFormat="1" applyFill="1" applyBorder="1"/>
    <xf numFmtId="8" fontId="0" fillId="4" borderId="1" xfId="0" applyNumberFormat="1" applyFill="1" applyBorder="1"/>
    <xf numFmtId="8" fontId="0" fillId="2" borderId="18" xfId="0" applyNumberFormat="1" applyFill="1" applyBorder="1"/>
    <xf numFmtId="8" fontId="0" fillId="2" borderId="19" xfId="0" applyNumberFormat="1" applyFill="1" applyBorder="1"/>
    <xf numFmtId="8" fontId="0" fillId="2" borderId="21" xfId="0" applyNumberFormat="1" applyFill="1" applyBorder="1"/>
    <xf numFmtId="8" fontId="0" fillId="2" borderId="22" xfId="0" applyNumberFormat="1" applyFill="1" applyBorder="1"/>
    <xf numFmtId="8" fontId="0" fillId="5" borderId="20" xfId="0" applyNumberFormat="1" applyFill="1" applyBorder="1"/>
  </cellXfs>
  <cellStyles count="1">
    <cellStyle name="Normalny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Q10"/>
  <sheetViews>
    <sheetView tabSelected="1" workbookViewId="0">
      <selection activeCell="J14" sqref="J14"/>
    </sheetView>
  </sheetViews>
  <sheetFormatPr defaultRowHeight="15"/>
  <cols>
    <col min="2" max="2" width="18.28515625" bestFit="1" customWidth="1"/>
    <col min="3" max="3" width="20.5703125" customWidth="1"/>
    <col min="4" max="4" width="21.42578125" customWidth="1"/>
    <col min="5" max="5" width="17.42578125" customWidth="1"/>
    <col min="6" max="6" width="18.85546875" customWidth="1"/>
    <col min="7" max="7" width="18.5703125" bestFit="1" customWidth="1"/>
    <col min="8" max="8" width="36.28515625" customWidth="1"/>
    <col min="11" max="15" width="11.140625" bestFit="1" customWidth="1"/>
    <col min="16" max="16" width="10.140625" bestFit="1" customWidth="1"/>
  </cols>
  <sheetData>
    <row r="3" spans="2:17">
      <c r="B3" s="1" t="s">
        <v>0</v>
      </c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3" t="s">
        <v>6</v>
      </c>
      <c r="K3" s="24">
        <v>45992</v>
      </c>
      <c r="L3" s="25">
        <v>46023</v>
      </c>
      <c r="M3" s="20"/>
      <c r="N3" s="20"/>
      <c r="O3" s="20"/>
      <c r="P3" s="20"/>
      <c r="Q3" s="20"/>
    </row>
    <row r="4" spans="2:17" ht="29.25">
      <c r="B4" s="4" t="s">
        <v>7</v>
      </c>
      <c r="C4" s="5">
        <v>9962.35</v>
      </c>
      <c r="D4" s="5">
        <v>14000</v>
      </c>
      <c r="E4" s="5">
        <v>16867.2</v>
      </c>
      <c r="F4" s="6" t="s">
        <v>8</v>
      </c>
      <c r="G4" s="6">
        <v>4</v>
      </c>
      <c r="H4" s="7" t="s">
        <v>9</v>
      </c>
      <c r="K4" s="26">
        <v>8433.6</v>
      </c>
      <c r="L4" s="29">
        <v>8433.6</v>
      </c>
      <c r="M4" s="31">
        <f>SUM(K4:L4)</f>
        <v>16867.2</v>
      </c>
      <c r="N4" s="22"/>
      <c r="O4" s="22"/>
      <c r="P4" s="22"/>
      <c r="Q4" s="22"/>
    </row>
    <row r="5" spans="2:17">
      <c r="B5" s="4" t="s">
        <v>10</v>
      </c>
      <c r="C5" s="5">
        <v>6991.87</v>
      </c>
      <c r="D5" s="5">
        <v>12000</v>
      </c>
      <c r="E5" s="5">
        <v>14457.6</v>
      </c>
      <c r="F5" s="6" t="s">
        <v>11</v>
      </c>
      <c r="G5" s="6">
        <v>3</v>
      </c>
      <c r="H5" s="8" t="s">
        <v>12</v>
      </c>
      <c r="K5" s="9">
        <v>7228.8</v>
      </c>
      <c r="L5" s="19">
        <v>7228.8</v>
      </c>
      <c r="M5" s="32">
        <f t="shared" ref="M5:M9" si="0">SUM(K5:L5)</f>
        <v>14457.6</v>
      </c>
      <c r="N5" s="22"/>
      <c r="O5" s="22"/>
      <c r="P5" s="22"/>
      <c r="Q5" s="22"/>
    </row>
    <row r="6" spans="2:17">
      <c r="B6" s="4" t="s">
        <v>13</v>
      </c>
      <c r="C6" s="5">
        <v>7568.11</v>
      </c>
      <c r="D6" s="5">
        <v>13000</v>
      </c>
      <c r="E6" s="5">
        <v>15662.4</v>
      </c>
      <c r="F6" s="6" t="s">
        <v>8</v>
      </c>
      <c r="G6" s="6">
        <v>4</v>
      </c>
      <c r="H6" s="8" t="s">
        <v>14</v>
      </c>
      <c r="K6" s="9">
        <v>7831.2</v>
      </c>
      <c r="L6" s="19">
        <v>7831.2</v>
      </c>
      <c r="M6" s="32">
        <f t="shared" si="0"/>
        <v>15662.4</v>
      </c>
      <c r="N6" s="21"/>
      <c r="O6" s="22"/>
      <c r="P6" s="22"/>
      <c r="Q6" s="22"/>
    </row>
    <row r="7" spans="2:17">
      <c r="B7" s="4" t="s">
        <v>15</v>
      </c>
      <c r="C7" s="5">
        <v>5729.91</v>
      </c>
      <c r="D7" s="5">
        <v>8000</v>
      </c>
      <c r="E7" s="5">
        <v>9638.4</v>
      </c>
      <c r="F7" s="6" t="s">
        <v>11</v>
      </c>
      <c r="G7" s="6">
        <v>2</v>
      </c>
      <c r="H7" s="8" t="s">
        <v>16</v>
      </c>
      <c r="K7" s="9">
        <v>4819.2</v>
      </c>
      <c r="L7" s="19">
        <v>4819.2</v>
      </c>
      <c r="M7" s="32">
        <f t="shared" si="0"/>
        <v>9638.4</v>
      </c>
      <c r="N7" s="21"/>
      <c r="O7" s="21"/>
      <c r="P7" s="21"/>
      <c r="Q7" s="22"/>
    </row>
    <row r="8" spans="2:17">
      <c r="B8" s="15" t="s">
        <v>17</v>
      </c>
      <c r="C8" s="11">
        <v>6991.87</v>
      </c>
      <c r="D8" s="11">
        <v>12000</v>
      </c>
      <c r="E8" s="11">
        <v>14457.6</v>
      </c>
      <c r="F8" s="10" t="s">
        <v>8</v>
      </c>
      <c r="G8" s="10">
        <v>3</v>
      </c>
      <c r="H8" s="12" t="s">
        <v>18</v>
      </c>
      <c r="K8" s="28">
        <v>7228.8</v>
      </c>
      <c r="L8" s="30">
        <v>7228.8</v>
      </c>
      <c r="M8" s="34">
        <f t="shared" si="0"/>
        <v>14457.6</v>
      </c>
      <c r="N8" s="21"/>
      <c r="O8" s="21"/>
      <c r="P8" s="22"/>
      <c r="Q8" s="22"/>
    </row>
    <row r="9" spans="2:17">
      <c r="B9" s="16"/>
      <c r="C9" s="14">
        <f>SUM(C4:C8)</f>
        <v>37244.11</v>
      </c>
      <c r="D9" s="14">
        <f>SUM(D4:D8)</f>
        <v>59000</v>
      </c>
      <c r="E9" s="14">
        <f>SUM(E4:E8)</f>
        <v>71083.200000000012</v>
      </c>
      <c r="F9" s="17"/>
      <c r="G9" s="17"/>
      <c r="H9" s="18"/>
      <c r="K9" s="13">
        <f>SUM(K4:K8)</f>
        <v>35541.600000000006</v>
      </c>
      <c r="L9" s="33">
        <f t="shared" ref="L9:Q9" si="1">SUM(L4:L8)</f>
        <v>35541.600000000006</v>
      </c>
      <c r="M9" s="35">
        <f t="shared" si="0"/>
        <v>71083.200000000012</v>
      </c>
      <c r="N9" s="21"/>
      <c r="O9" s="21"/>
      <c r="P9" s="21"/>
      <c r="Q9" s="21"/>
    </row>
    <row r="10" spans="2:17">
      <c r="K10" s="27"/>
      <c r="L10" s="27"/>
      <c r="M10" s="23"/>
      <c r="N10" s="23"/>
      <c r="O10" s="23"/>
      <c r="P10" s="23"/>
      <c r="Q10" s="2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Jakub Kaźmierczak</cp:lastModifiedBy>
  <cp:revision/>
  <dcterms:created xsi:type="dcterms:W3CDTF">2025-11-27T13:53:44Z</dcterms:created>
  <dcterms:modified xsi:type="dcterms:W3CDTF">2025-11-27T14:08:46Z</dcterms:modified>
  <cp:category/>
  <cp:contentStatus/>
</cp:coreProperties>
</file>
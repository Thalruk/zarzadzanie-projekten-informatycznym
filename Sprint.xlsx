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23"/>
  <workbookPr/>
  <xr:revisionPtr revIDLastSave="0" documentId="8_{269257B5-1864-4CB5-9C27-E48F1371964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1" l="1"/>
  <c r="G30" i="1"/>
  <c r="H30" i="1"/>
  <c r="I30" i="1"/>
  <c r="J30" i="1"/>
  <c r="K30" i="1"/>
  <c r="L30" i="1"/>
  <c r="M30" i="1"/>
  <c r="E30" i="1"/>
  <c r="K31" i="1"/>
  <c r="F31" i="1"/>
  <c r="G31" i="1"/>
  <c r="H31" i="1"/>
  <c r="I31" i="1"/>
  <c r="J31" i="1"/>
  <c r="L31" i="1"/>
  <c r="M31" i="1"/>
  <c r="E31" i="1"/>
  <c r="F62" i="1"/>
  <c r="G62" i="1"/>
  <c r="H62" i="1"/>
  <c r="I62" i="1"/>
  <c r="E62" i="1"/>
  <c r="F59" i="1"/>
  <c r="G59" i="1"/>
  <c r="H59" i="1"/>
  <c r="I59" i="1"/>
  <c r="E59" i="1"/>
  <c r="F55" i="1"/>
  <c r="G55" i="1"/>
  <c r="H55" i="1"/>
  <c r="I55" i="1"/>
  <c r="E55" i="1"/>
  <c r="E42" i="1"/>
  <c r="F42" i="1"/>
  <c r="G42" i="1"/>
  <c r="H42" i="1"/>
  <c r="I42" i="1"/>
  <c r="J42" i="1"/>
  <c r="K42" i="1"/>
  <c r="L42" i="1"/>
  <c r="M42" i="1"/>
  <c r="E46" i="1"/>
  <c r="F46" i="1"/>
  <c r="G46" i="1"/>
  <c r="H46" i="1"/>
  <c r="I46" i="1"/>
  <c r="J46" i="1"/>
  <c r="K46" i="1"/>
  <c r="L46" i="1"/>
  <c r="M46" i="1"/>
  <c r="E39" i="1"/>
  <c r="F39" i="1"/>
  <c r="G39" i="1"/>
  <c r="H39" i="1"/>
  <c r="I39" i="1"/>
  <c r="J39" i="1"/>
  <c r="K39" i="1"/>
  <c r="L39" i="1"/>
  <c r="M39" i="1"/>
  <c r="F26" i="1"/>
  <c r="G26" i="1"/>
  <c r="H26" i="1"/>
  <c r="I26" i="1"/>
  <c r="J26" i="1"/>
  <c r="K26" i="1"/>
  <c r="L26" i="1"/>
  <c r="M26" i="1"/>
  <c r="E26" i="1"/>
  <c r="F23" i="1"/>
  <c r="G23" i="1"/>
  <c r="H23" i="1"/>
  <c r="I23" i="1"/>
  <c r="J23" i="1"/>
  <c r="K23" i="1"/>
  <c r="L23" i="1"/>
  <c r="M23" i="1"/>
  <c r="E23" i="1"/>
  <c r="F15" i="1"/>
  <c r="G15" i="1"/>
  <c r="H15" i="1"/>
  <c r="I15" i="1"/>
  <c r="J15" i="1"/>
  <c r="K15" i="1"/>
  <c r="L15" i="1"/>
  <c r="M15" i="1"/>
  <c r="E6" i="1"/>
  <c r="E10" i="1"/>
  <c r="E14" i="1"/>
  <c r="E15" i="1"/>
  <c r="F14" i="1"/>
  <c r="G14" i="1"/>
  <c r="H14" i="1"/>
  <c r="I14" i="1"/>
  <c r="J14" i="1"/>
  <c r="K14" i="1"/>
  <c r="L14" i="1"/>
  <c r="M14" i="1"/>
  <c r="F10" i="1"/>
  <c r="G10" i="1"/>
  <c r="H10" i="1"/>
  <c r="I10" i="1"/>
  <c r="J10" i="1"/>
  <c r="K10" i="1"/>
  <c r="L10" i="1"/>
  <c r="M10" i="1"/>
  <c r="F6" i="1"/>
  <c r="G6" i="1"/>
  <c r="H6" i="1"/>
  <c r="I6" i="1"/>
  <c r="J6" i="1"/>
  <c r="K6" i="1"/>
  <c r="L6" i="1"/>
  <c r="M6" i="1"/>
  <c r="E63" i="1" l="1"/>
  <c r="I63" i="1"/>
  <c r="H63" i="1"/>
  <c r="G63" i="1"/>
  <c r="F63" i="1"/>
  <c r="M47" i="1"/>
  <c r="L47" i="1"/>
  <c r="K47" i="1"/>
  <c r="J47" i="1"/>
  <c r="I47" i="1"/>
  <c r="H47" i="1"/>
  <c r="G47" i="1"/>
  <c r="F47" i="1"/>
  <c r="E47" i="1"/>
</calcChain>
</file>

<file path=xl/sharedStrings.xml><?xml version="1.0" encoding="utf-8"?>
<sst xmlns="http://schemas.openxmlformats.org/spreadsheetml/2006/main" count="197" uniqueCount="70">
  <si>
    <t>Sprint 1 - Przykład realizacji</t>
  </si>
  <si>
    <t>Opis zadania</t>
  </si>
  <si>
    <t>Pomysłodawca</t>
  </si>
  <si>
    <t>Osoba odp.</t>
  </si>
  <si>
    <t>Status</t>
  </si>
  <si>
    <t>Dzień 1</t>
  </si>
  <si>
    <t>Dzień 2</t>
  </si>
  <si>
    <t>Dzień 3</t>
  </si>
  <si>
    <t>Dzień 4</t>
  </si>
  <si>
    <t>Dzień 5</t>
  </si>
  <si>
    <t>Dzień 6</t>
  </si>
  <si>
    <t>Dzień 7</t>
  </si>
  <si>
    <t>Dzień 8</t>
  </si>
  <si>
    <t>Dzień 9</t>
  </si>
  <si>
    <t>ANALIZA I DOKUMENTACJA</t>
  </si>
  <si>
    <t>Analiza wymagań biznesowych</t>
  </si>
  <si>
    <t>Joe</t>
  </si>
  <si>
    <t>Makise</t>
  </si>
  <si>
    <t>Zakończony</t>
  </si>
  <si>
    <t>Spisanie dokumentacji projektu</t>
  </si>
  <si>
    <t>PROJEKT INTERFEJSU (UI)</t>
  </si>
  <si>
    <t>Projekt makiety strony głównej</t>
  </si>
  <si>
    <t>Lucjusz</t>
  </si>
  <si>
    <t>Projekt formularzy</t>
  </si>
  <si>
    <t>Dobór stylów CSS i fontów</t>
  </si>
  <si>
    <t>REJESTRACJA I LOGOWANIE</t>
  </si>
  <si>
    <t>Utworzenie tabeli 'Users' w DB</t>
  </si>
  <si>
    <t>Amush</t>
  </si>
  <si>
    <t>API Backend: Logowanie</t>
  </si>
  <si>
    <t>Frontend: Formularz HTML/JS</t>
  </si>
  <si>
    <t>SUMA (POZOSTAŁE GODZINY)</t>
  </si>
  <si>
    <t>Sprint 2 - Przykład realizacji</t>
  </si>
  <si>
    <t>Opis zadania (Task)</t>
  </si>
  <si>
    <t>KATALOG PRODUKTÓW (9,6h)</t>
  </si>
  <si>
    <t>1. Backend: Endpoint GET /products</t>
  </si>
  <si>
    <t>2. Frontend: Widok listy (HTML/CSS)</t>
  </si>
  <si>
    <t>3. Frontend: Pobieranie danych (JS)</t>
  </si>
  <si>
    <t>FILTROWANIE PRODUKTÓW (5,2h)</t>
  </si>
  <si>
    <t>4. Backend: Zapytania SQL (WHERE)</t>
  </si>
  <si>
    <t>5. Frontend: Pasek boczny filtrów</t>
  </si>
  <si>
    <t>KOSZYK ZAKUPOWY (13,0h)</t>
  </si>
  <si>
    <t>6. Backend: Sesja koszyka (Logic)</t>
  </si>
  <si>
    <t>7. Frontend: Przycisk "Dodaj" (JS)</t>
  </si>
  <si>
    <t>8. Frontend: Widok koszyka (Table)</t>
  </si>
  <si>
    <t>POZOSTAŁE GODZINY (SUMA)</t>
  </si>
  <si>
    <t>Sprint 3 - Przykład realizacji</t>
  </si>
  <si>
    <t>PROCES ZAMÓWIENIA (11,2h)</t>
  </si>
  <si>
    <t>1. Backend: API zapisu zamówienia</t>
  </si>
  <si>
    <t>2. Frontend: Formularz dostawy</t>
  </si>
  <si>
    <t>3. DB: Tabela Orders i relacje</t>
  </si>
  <si>
    <t>BRAMKA PŁATNOŚCI (9,0h)</t>
  </si>
  <si>
    <t>4. Integracja API (klucze, connect)</t>
  </si>
  <si>
    <t>5. Obsługa statusów płatności (UI)</t>
  </si>
  <si>
    <t>PANEL ADMINISTRACYJNY (17,0h)</t>
  </si>
  <si>
    <t>6. Layout panelu i Dashboard</t>
  </si>
  <si>
    <t>7. Backend: Edycja produktów</t>
  </si>
  <si>
    <t>8. Frontend: Lista zamówień (View)</t>
  </si>
  <si>
    <t>Sprint 4 - Przykład realizacji</t>
  </si>
  <si>
    <t>TESTY FUNKCJONALNE (10,4h)</t>
  </si>
  <si>
    <t>1. Scenariusze testowe (Docs)</t>
  </si>
  <si>
    <t>Okabe</t>
  </si>
  <si>
    <t>2. Testy manualne interfejsu (UI)</t>
  </si>
  <si>
    <t>3. Testy integracyjne API (Auto)</t>
  </si>
  <si>
    <t>OPTYMALIZACJA (8,4h)</t>
  </si>
  <si>
    <t>4. Minifikacja kodu JS/CSS</t>
  </si>
  <si>
    <t>5. Optymalizacja zapytań SQL</t>
  </si>
  <si>
    <t>6. Audyt wydajności (Lighthouse)</t>
  </si>
  <si>
    <t>DEMO I DOKUMENTACJA (6,6h)</t>
  </si>
  <si>
    <t>7. Przygotowanie prezentacji Demo</t>
  </si>
  <si>
    <t>8. Kompletowanie dok. technicznej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</si>
</sst>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theme="1"/>
      <name val="Google Sans Text"/>
      <family val="2"/>
      <charset val="1"/>
    </font>
    <font>
      <b/>
      <sz val="11"/>
      <color theme="1"/>
      <name val="Google Sans Text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3" borderId="1" xfId="0" applyFont="1" applyFill="1" applyBorder="1"/>
    <xf numFmtId="0" fontId="2" fillId="5" borderId="1" xfId="0" applyFont="1" applyFill="1" applyBorder="1"/>
    <xf numFmtId="0" fontId="1" fillId="5" borderId="1" xfId="0" applyFont="1" applyFill="1" applyBorder="1" applyAlignment="1">
      <alignment wrapText="1"/>
    </xf>
    <xf numFmtId="0" fontId="1" fillId="5" borderId="1" xfId="0" applyFont="1" applyFill="1" applyBorder="1"/>
    <xf numFmtId="0" fontId="2" fillId="5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0" fontId="2" fillId="2" borderId="1" xfId="0" applyFont="1" applyFill="1" applyBorder="1"/>
    <xf numFmtId="0" fontId="0" fillId="4" borderId="0" xfId="0" applyFill="1"/>
  </cellXfs>
  <cellStyles count="1">
    <cellStyle name="Normalny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3"/>
  <sheetViews>
    <sheetView tabSelected="1" topLeftCell="A4" workbookViewId="0">
      <selection activeCell="E30" sqref="E30:M30"/>
    </sheetView>
  </sheetViews>
  <sheetFormatPr defaultRowHeight="15"/>
  <cols>
    <col min="1" max="1" width="54.140625" customWidth="1"/>
    <col min="2" max="2" width="15.7109375" customWidth="1"/>
    <col min="3" max="3" width="12.7109375" customWidth="1"/>
    <col min="4" max="4" width="13.5703125" customWidth="1"/>
    <col min="5" max="5" width="9.140625" customWidth="1"/>
    <col min="6" max="14" width="7.7109375" customWidth="1"/>
  </cols>
  <sheetData>
    <row r="1" spans="1:13">
      <c r="A1" t="s">
        <v>0</v>
      </c>
    </row>
    <row r="2" spans="1:13" ht="33">
      <c r="A2" s="5" t="s">
        <v>1</v>
      </c>
      <c r="B2" s="8" t="s">
        <v>2</v>
      </c>
      <c r="C2" s="8" t="s">
        <v>3</v>
      </c>
      <c r="D2" s="5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8" t="s">
        <v>11</v>
      </c>
      <c r="L2" s="8" t="s">
        <v>12</v>
      </c>
      <c r="M2" s="8" t="s">
        <v>13</v>
      </c>
    </row>
    <row r="3" spans="1:13">
      <c r="A3" s="5" t="s">
        <v>14</v>
      </c>
      <c r="B3" s="6"/>
      <c r="C3" s="6"/>
      <c r="D3" s="7"/>
      <c r="E3" s="6"/>
      <c r="F3" s="6"/>
      <c r="G3" s="6"/>
      <c r="H3" s="6"/>
      <c r="I3" s="6"/>
      <c r="J3" s="6"/>
      <c r="K3" s="6"/>
      <c r="L3" s="6"/>
      <c r="M3" s="6"/>
    </row>
    <row r="4" spans="1:13" ht="15.75" customHeight="1">
      <c r="A4" s="1" t="s">
        <v>15</v>
      </c>
      <c r="B4" s="2" t="s">
        <v>16</v>
      </c>
      <c r="C4" s="2" t="s">
        <v>17</v>
      </c>
      <c r="D4" s="1" t="s">
        <v>18</v>
      </c>
      <c r="E4" s="4">
        <v>2.4</v>
      </c>
      <c r="F4" s="3">
        <v>1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</row>
    <row r="5" spans="1:13" ht="16.5">
      <c r="A5" s="1" t="s">
        <v>19</v>
      </c>
      <c r="B5" s="2" t="s">
        <v>17</v>
      </c>
      <c r="C5" s="2" t="s">
        <v>17</v>
      </c>
      <c r="D5" s="1" t="s">
        <v>18</v>
      </c>
      <c r="E5" s="4">
        <v>2</v>
      </c>
      <c r="F5" s="3">
        <v>2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</row>
    <row r="6" spans="1:13">
      <c r="A6" s="5" t="s">
        <v>20</v>
      </c>
      <c r="B6" s="6"/>
      <c r="C6" s="6"/>
      <c r="D6" s="7"/>
      <c r="E6" s="5">
        <f>SUM(E4:E5)</f>
        <v>4.4000000000000004</v>
      </c>
      <c r="F6" s="5">
        <f t="shared" ref="F6:M6" si="0">SUM(F4:F5)</f>
        <v>3</v>
      </c>
      <c r="G6" s="5">
        <f t="shared" si="0"/>
        <v>0</v>
      </c>
      <c r="H6" s="5">
        <f t="shared" si="0"/>
        <v>0</v>
      </c>
      <c r="I6" s="5">
        <f t="shared" si="0"/>
        <v>0</v>
      </c>
      <c r="J6" s="5">
        <f t="shared" si="0"/>
        <v>0</v>
      </c>
      <c r="K6" s="5">
        <f t="shared" si="0"/>
        <v>0</v>
      </c>
      <c r="L6" s="5">
        <f t="shared" si="0"/>
        <v>0</v>
      </c>
      <c r="M6" s="5">
        <f t="shared" si="0"/>
        <v>0</v>
      </c>
    </row>
    <row r="7" spans="1:13" ht="16.5">
      <c r="A7" s="1" t="s">
        <v>21</v>
      </c>
      <c r="B7" s="2" t="s">
        <v>16</v>
      </c>
      <c r="C7" s="2" t="s">
        <v>22</v>
      </c>
      <c r="D7" s="1" t="s">
        <v>18</v>
      </c>
      <c r="E7" s="4">
        <v>5</v>
      </c>
      <c r="F7" s="3">
        <v>4</v>
      </c>
      <c r="G7" s="3">
        <v>2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</row>
    <row r="8" spans="1:13" ht="16.5">
      <c r="A8" s="1" t="s">
        <v>23</v>
      </c>
      <c r="B8" s="2" t="s">
        <v>16</v>
      </c>
      <c r="C8" s="2" t="s">
        <v>22</v>
      </c>
      <c r="D8" s="1" t="s">
        <v>18</v>
      </c>
      <c r="E8" s="4">
        <v>4</v>
      </c>
      <c r="F8" s="3">
        <v>4</v>
      </c>
      <c r="G8" s="3">
        <v>3</v>
      </c>
      <c r="H8" s="3">
        <v>2</v>
      </c>
      <c r="I8" s="3">
        <v>1</v>
      </c>
      <c r="J8" s="2">
        <v>0</v>
      </c>
      <c r="K8" s="2">
        <v>0</v>
      </c>
      <c r="L8" s="2">
        <v>0</v>
      </c>
      <c r="M8" s="2">
        <v>0</v>
      </c>
    </row>
    <row r="9" spans="1:13" ht="16.5">
      <c r="A9" s="1" t="s">
        <v>24</v>
      </c>
      <c r="B9" s="2" t="s">
        <v>22</v>
      </c>
      <c r="C9" s="2" t="s">
        <v>22</v>
      </c>
      <c r="D9" s="1" t="s">
        <v>18</v>
      </c>
      <c r="E9" s="4">
        <v>4</v>
      </c>
      <c r="F9" s="3">
        <v>4</v>
      </c>
      <c r="G9" s="3">
        <v>4</v>
      </c>
      <c r="H9" s="3">
        <v>3</v>
      </c>
      <c r="I9" s="3">
        <v>2</v>
      </c>
      <c r="J9" s="9">
        <v>0</v>
      </c>
      <c r="K9" s="2">
        <v>0</v>
      </c>
      <c r="L9" s="2">
        <v>0</v>
      </c>
      <c r="M9" s="2">
        <v>0</v>
      </c>
    </row>
    <row r="10" spans="1:13">
      <c r="A10" s="5" t="s">
        <v>25</v>
      </c>
      <c r="B10" s="6"/>
      <c r="C10" s="6"/>
      <c r="D10" s="7"/>
      <c r="E10" s="5">
        <f>SUM(E7:E9)</f>
        <v>13</v>
      </c>
      <c r="F10" s="5">
        <f t="shared" ref="F10:M10" si="1">SUM(F7:F9)</f>
        <v>12</v>
      </c>
      <c r="G10" s="5">
        <f t="shared" si="1"/>
        <v>9</v>
      </c>
      <c r="H10" s="5">
        <f t="shared" si="1"/>
        <v>5</v>
      </c>
      <c r="I10" s="5">
        <f t="shared" si="1"/>
        <v>3</v>
      </c>
      <c r="J10" s="5">
        <f t="shared" si="1"/>
        <v>0</v>
      </c>
      <c r="K10" s="5">
        <f t="shared" si="1"/>
        <v>0</v>
      </c>
      <c r="L10" s="5">
        <f t="shared" si="1"/>
        <v>0</v>
      </c>
      <c r="M10" s="5">
        <f t="shared" si="1"/>
        <v>0</v>
      </c>
    </row>
    <row r="11" spans="1:13" ht="16.5">
      <c r="A11" s="1" t="s">
        <v>26</v>
      </c>
      <c r="B11" s="2" t="s">
        <v>27</v>
      </c>
      <c r="C11" s="2" t="s">
        <v>27</v>
      </c>
      <c r="D11" s="1" t="s">
        <v>18</v>
      </c>
      <c r="E11" s="4">
        <v>3</v>
      </c>
      <c r="F11" s="3">
        <v>3</v>
      </c>
      <c r="G11" s="3">
        <v>2</v>
      </c>
      <c r="H11" s="3">
        <v>1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</row>
    <row r="12" spans="1:13" ht="16.5">
      <c r="A12" s="1" t="s">
        <v>28</v>
      </c>
      <c r="B12" s="2" t="s">
        <v>27</v>
      </c>
      <c r="C12" s="2" t="s">
        <v>27</v>
      </c>
      <c r="D12" s="1" t="s">
        <v>18</v>
      </c>
      <c r="E12" s="4">
        <v>4</v>
      </c>
      <c r="F12" s="3">
        <v>4</v>
      </c>
      <c r="G12" s="3">
        <v>4</v>
      </c>
      <c r="H12" s="3">
        <v>4</v>
      </c>
      <c r="I12" s="3">
        <v>3</v>
      </c>
      <c r="J12" s="3">
        <v>3</v>
      </c>
      <c r="K12" s="3">
        <v>1</v>
      </c>
      <c r="L12" s="2">
        <v>0</v>
      </c>
      <c r="M12" s="2">
        <v>0</v>
      </c>
    </row>
    <row r="13" spans="1:13" ht="16.5">
      <c r="A13" s="1" t="s">
        <v>29</v>
      </c>
      <c r="B13" s="2" t="s">
        <v>22</v>
      </c>
      <c r="C13" s="2" t="s">
        <v>22</v>
      </c>
      <c r="D13" s="1" t="s">
        <v>18</v>
      </c>
      <c r="E13" s="4">
        <v>5</v>
      </c>
      <c r="F13" s="3">
        <v>5</v>
      </c>
      <c r="G13" s="3">
        <v>5</v>
      </c>
      <c r="H13" s="3">
        <v>5</v>
      </c>
      <c r="I13" s="3">
        <v>5</v>
      </c>
      <c r="J13" s="3">
        <v>3</v>
      </c>
      <c r="K13" s="3">
        <v>3</v>
      </c>
      <c r="L13" s="3">
        <v>3</v>
      </c>
      <c r="M13" s="3">
        <v>1</v>
      </c>
    </row>
    <row r="14" spans="1:13">
      <c r="A14" s="7"/>
      <c r="B14" s="6"/>
      <c r="C14" s="6"/>
      <c r="D14" s="7"/>
      <c r="E14" s="5">
        <f>SUM(E11:E13)</f>
        <v>12</v>
      </c>
      <c r="F14" s="5">
        <f t="shared" ref="F14:M14" si="2">SUM(F11:F13)</f>
        <v>12</v>
      </c>
      <c r="G14" s="5">
        <f t="shared" si="2"/>
        <v>11</v>
      </c>
      <c r="H14" s="5">
        <f t="shared" si="2"/>
        <v>10</v>
      </c>
      <c r="I14" s="5">
        <f t="shared" si="2"/>
        <v>8</v>
      </c>
      <c r="J14" s="5">
        <f t="shared" si="2"/>
        <v>6</v>
      </c>
      <c r="K14" s="5">
        <f t="shared" si="2"/>
        <v>4</v>
      </c>
      <c r="L14" s="5">
        <f t="shared" si="2"/>
        <v>3</v>
      </c>
      <c r="M14" s="5">
        <f t="shared" si="2"/>
        <v>1</v>
      </c>
    </row>
    <row r="15" spans="1:13">
      <c r="A15" s="12" t="s">
        <v>30</v>
      </c>
      <c r="B15" s="11"/>
      <c r="C15" s="11"/>
      <c r="D15" s="10"/>
      <c r="E15" s="12">
        <f>SUM(E11:E13,E7:E9,E4:E5)</f>
        <v>29.4</v>
      </c>
      <c r="F15" s="12">
        <f t="shared" ref="F15:M15" si="3">SUM(F11:F13,F7:F9,F4:F5)</f>
        <v>27</v>
      </c>
      <c r="G15" s="12">
        <f t="shared" si="3"/>
        <v>20</v>
      </c>
      <c r="H15" s="12">
        <f t="shared" si="3"/>
        <v>15</v>
      </c>
      <c r="I15" s="12">
        <f t="shared" si="3"/>
        <v>11</v>
      </c>
      <c r="J15" s="12">
        <f t="shared" si="3"/>
        <v>6</v>
      </c>
      <c r="K15" s="12">
        <f t="shared" si="3"/>
        <v>4</v>
      </c>
      <c r="L15" s="12">
        <f t="shared" si="3"/>
        <v>3</v>
      </c>
      <c r="M15" s="12">
        <f t="shared" si="3"/>
        <v>1</v>
      </c>
    </row>
    <row r="17" spans="1:13">
      <c r="A17" t="s">
        <v>31</v>
      </c>
    </row>
    <row r="18" spans="1:13">
      <c r="A18" s="5" t="s">
        <v>32</v>
      </c>
      <c r="B18" s="5" t="s">
        <v>2</v>
      </c>
      <c r="C18" s="5" t="s">
        <v>3</v>
      </c>
      <c r="D18" s="5" t="s">
        <v>4</v>
      </c>
      <c r="E18" s="5" t="s">
        <v>5</v>
      </c>
      <c r="F18" s="5" t="s">
        <v>6</v>
      </c>
      <c r="G18" s="5" t="s">
        <v>7</v>
      </c>
      <c r="H18" s="5" t="s">
        <v>8</v>
      </c>
      <c r="I18" s="5" t="s">
        <v>9</v>
      </c>
      <c r="J18" s="5" t="s">
        <v>10</v>
      </c>
      <c r="K18" s="5" t="s">
        <v>11</v>
      </c>
      <c r="L18" s="5" t="s">
        <v>12</v>
      </c>
      <c r="M18" s="5" t="s">
        <v>13</v>
      </c>
    </row>
    <row r="19" spans="1:13">
      <c r="A19" s="5" t="s">
        <v>33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</row>
    <row r="20" spans="1:13" ht="16.5">
      <c r="A20" s="1" t="s">
        <v>34</v>
      </c>
      <c r="B20" s="2" t="s">
        <v>27</v>
      </c>
      <c r="C20" s="2" t="s">
        <v>27</v>
      </c>
      <c r="D20" s="1" t="s">
        <v>18</v>
      </c>
      <c r="E20" s="4">
        <v>4</v>
      </c>
      <c r="F20" s="4">
        <v>3</v>
      </c>
      <c r="G20" s="4">
        <v>1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</row>
    <row r="21" spans="1:13" ht="16.5">
      <c r="A21" s="1" t="s">
        <v>35</v>
      </c>
      <c r="B21" s="2" t="s">
        <v>22</v>
      </c>
      <c r="C21" s="2" t="s">
        <v>22</v>
      </c>
      <c r="D21" s="1" t="s">
        <v>18</v>
      </c>
      <c r="E21" s="4">
        <v>3.6</v>
      </c>
      <c r="F21" s="4">
        <v>2</v>
      </c>
      <c r="G21" s="4">
        <v>1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</row>
    <row r="22" spans="1:13" ht="16.5">
      <c r="A22" s="1" t="s">
        <v>36</v>
      </c>
      <c r="B22" s="2" t="s">
        <v>22</v>
      </c>
      <c r="C22" s="1" t="s">
        <v>22</v>
      </c>
      <c r="D22" s="1" t="s">
        <v>18</v>
      </c>
      <c r="E22" s="4">
        <v>2</v>
      </c>
      <c r="F22" s="4">
        <v>2</v>
      </c>
      <c r="G22" s="4">
        <v>2</v>
      </c>
      <c r="H22" s="4">
        <v>1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</row>
    <row r="23" spans="1:13">
      <c r="A23" s="5" t="s">
        <v>37</v>
      </c>
      <c r="B23" s="7"/>
      <c r="C23" s="7"/>
      <c r="D23" s="7"/>
      <c r="E23" s="5">
        <f>SUM(E20:E22)</f>
        <v>9.6</v>
      </c>
      <c r="F23" s="5">
        <f>SUM(F20:F22)</f>
        <v>7</v>
      </c>
      <c r="G23" s="5">
        <f>SUM(G20:G22)</f>
        <v>4</v>
      </c>
      <c r="H23" s="5">
        <f>SUM(H20:H22)</f>
        <v>1</v>
      </c>
      <c r="I23" s="5">
        <f>SUM(I20:I22)</f>
        <v>0</v>
      </c>
      <c r="J23" s="5">
        <f>SUM(J20:J22)</f>
        <v>0</v>
      </c>
      <c r="K23" s="5">
        <f>SUM(K20:K22)</f>
        <v>0</v>
      </c>
      <c r="L23" s="5">
        <f t="shared" ref="L23:M23" si="4">SUM(L20:L22)</f>
        <v>0</v>
      </c>
      <c r="M23" s="5">
        <f t="shared" si="4"/>
        <v>0</v>
      </c>
    </row>
    <row r="24" spans="1:13" ht="16.5">
      <c r="A24" s="1" t="s">
        <v>38</v>
      </c>
      <c r="B24" s="2" t="s">
        <v>27</v>
      </c>
      <c r="C24" s="2" t="s">
        <v>17</v>
      </c>
      <c r="D24" s="1" t="s">
        <v>18</v>
      </c>
      <c r="E24" s="4">
        <v>2.2000000000000002</v>
      </c>
      <c r="F24" s="4">
        <v>1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</row>
    <row r="25" spans="1:13" ht="16.5">
      <c r="A25" s="1" t="s">
        <v>39</v>
      </c>
      <c r="B25" s="2" t="s">
        <v>22</v>
      </c>
      <c r="C25" s="2" t="s">
        <v>22</v>
      </c>
      <c r="D25" s="1" t="s">
        <v>18</v>
      </c>
      <c r="E25" s="4">
        <v>3</v>
      </c>
      <c r="F25" s="4">
        <v>2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</row>
    <row r="26" spans="1:13">
      <c r="A26" s="5" t="s">
        <v>40</v>
      </c>
      <c r="B26" s="7"/>
      <c r="C26" s="7"/>
      <c r="D26" s="7"/>
      <c r="E26" s="5">
        <f>SUM(E24:E25)</f>
        <v>5.2</v>
      </c>
      <c r="F26" s="5">
        <f>SUM(F24:F25)</f>
        <v>3</v>
      </c>
      <c r="G26" s="5">
        <f>SUM(G24:G25)</f>
        <v>0</v>
      </c>
      <c r="H26" s="5">
        <f>SUM(H24:H25)</f>
        <v>0</v>
      </c>
      <c r="I26" s="5">
        <f>SUM(I24:I25)</f>
        <v>0</v>
      </c>
      <c r="J26" s="5">
        <f>SUM(J24:J25)</f>
        <v>0</v>
      </c>
      <c r="K26" s="5">
        <f>SUM(K24:K25)</f>
        <v>0</v>
      </c>
      <c r="L26" s="5">
        <f t="shared" ref="L26:M26" si="5">SUM(L24:L25)</f>
        <v>0</v>
      </c>
      <c r="M26" s="5">
        <f t="shared" si="5"/>
        <v>0</v>
      </c>
    </row>
    <row r="27" spans="1:13" ht="16.5">
      <c r="A27" s="1" t="s">
        <v>41</v>
      </c>
      <c r="B27" s="2" t="s">
        <v>27</v>
      </c>
      <c r="C27" s="2" t="s">
        <v>27</v>
      </c>
      <c r="D27" s="1" t="s">
        <v>18</v>
      </c>
      <c r="E27" s="4">
        <v>4</v>
      </c>
      <c r="F27" s="4">
        <v>3</v>
      </c>
      <c r="G27" s="4">
        <v>2</v>
      </c>
      <c r="H27" s="4">
        <v>1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</row>
    <row r="28" spans="1:13" ht="16.5">
      <c r="A28" s="1" t="s">
        <v>42</v>
      </c>
      <c r="B28" s="2" t="s">
        <v>22</v>
      </c>
      <c r="C28" s="2" t="s">
        <v>22</v>
      </c>
      <c r="D28" s="1" t="s">
        <v>18</v>
      </c>
      <c r="E28" s="4">
        <v>4</v>
      </c>
      <c r="F28" s="4">
        <v>4</v>
      </c>
      <c r="G28" s="4">
        <v>4</v>
      </c>
      <c r="H28" s="4">
        <v>4</v>
      </c>
      <c r="I28" s="4">
        <v>3</v>
      </c>
      <c r="J28" s="4">
        <v>1</v>
      </c>
      <c r="K28" s="1">
        <v>0</v>
      </c>
      <c r="L28" s="1">
        <v>0</v>
      </c>
      <c r="M28" s="1">
        <v>0</v>
      </c>
    </row>
    <row r="29" spans="1:13" ht="16.5">
      <c r="A29" s="1" t="s">
        <v>43</v>
      </c>
      <c r="B29" s="2" t="s">
        <v>22</v>
      </c>
      <c r="C29" s="2" t="s">
        <v>22</v>
      </c>
      <c r="D29" s="1" t="s">
        <v>18</v>
      </c>
      <c r="E29" s="4">
        <v>5</v>
      </c>
      <c r="F29" s="4">
        <v>5</v>
      </c>
      <c r="G29" s="4">
        <v>5</v>
      </c>
      <c r="H29" s="4">
        <v>5</v>
      </c>
      <c r="I29" s="4">
        <v>5</v>
      </c>
      <c r="J29" s="4">
        <v>5</v>
      </c>
      <c r="K29" s="4">
        <v>4</v>
      </c>
      <c r="L29" s="1">
        <v>0</v>
      </c>
      <c r="M29" s="1">
        <v>0</v>
      </c>
    </row>
    <row r="30" spans="1:13">
      <c r="A30" s="5" t="s">
        <v>44</v>
      </c>
      <c r="B30" s="7"/>
      <c r="C30" s="7"/>
      <c r="D30" s="7"/>
      <c r="E30" s="5">
        <f>SUM(E27:E29)</f>
        <v>13</v>
      </c>
      <c r="F30" s="5">
        <f t="shared" ref="F30:M30" si="6">SUM(F27:F29)</f>
        <v>12</v>
      </c>
      <c r="G30" s="5">
        <f t="shared" si="6"/>
        <v>11</v>
      </c>
      <c r="H30" s="5">
        <f t="shared" si="6"/>
        <v>10</v>
      </c>
      <c r="I30" s="5">
        <f t="shared" si="6"/>
        <v>8</v>
      </c>
      <c r="J30" s="5">
        <f t="shared" si="6"/>
        <v>6</v>
      </c>
      <c r="K30" s="5">
        <f t="shared" si="6"/>
        <v>4</v>
      </c>
      <c r="L30" s="5">
        <f t="shared" si="6"/>
        <v>0</v>
      </c>
      <c r="M30" s="5">
        <f t="shared" si="6"/>
        <v>0</v>
      </c>
    </row>
    <row r="31" spans="1:13">
      <c r="A31" s="12" t="s">
        <v>30</v>
      </c>
      <c r="B31" s="11"/>
      <c r="C31" s="11"/>
      <c r="D31" s="10"/>
      <c r="E31" s="12">
        <f>SUM(E30,E26,E23)</f>
        <v>27.799999999999997</v>
      </c>
      <c r="F31" s="12">
        <f t="shared" ref="F31:M31" si="7">SUM(F30,F26,F23)</f>
        <v>22</v>
      </c>
      <c r="G31" s="12">
        <f t="shared" si="7"/>
        <v>15</v>
      </c>
      <c r="H31" s="12">
        <f t="shared" si="7"/>
        <v>11</v>
      </c>
      <c r="I31" s="12">
        <f t="shared" si="7"/>
        <v>8</v>
      </c>
      <c r="J31" s="12">
        <f t="shared" si="7"/>
        <v>6</v>
      </c>
      <c r="K31" s="12">
        <f>SUM(K30,K26,K23)</f>
        <v>4</v>
      </c>
      <c r="L31" s="12">
        <f t="shared" si="7"/>
        <v>0</v>
      </c>
      <c r="M31" s="12">
        <f t="shared" si="7"/>
        <v>0</v>
      </c>
    </row>
    <row r="33" spans="1:13">
      <c r="A33" t="s">
        <v>45</v>
      </c>
    </row>
    <row r="34" spans="1:13" ht="33">
      <c r="A34" s="5" t="s">
        <v>32</v>
      </c>
      <c r="B34" s="8" t="s">
        <v>2</v>
      </c>
      <c r="C34" s="8" t="s">
        <v>3</v>
      </c>
      <c r="D34" s="5" t="s">
        <v>4</v>
      </c>
      <c r="E34" s="8" t="s">
        <v>5</v>
      </c>
      <c r="F34" s="8" t="s">
        <v>6</v>
      </c>
      <c r="G34" s="8" t="s">
        <v>7</v>
      </c>
      <c r="H34" s="8" t="s">
        <v>8</v>
      </c>
      <c r="I34" s="8" t="s">
        <v>9</v>
      </c>
      <c r="J34" s="8" t="s">
        <v>10</v>
      </c>
      <c r="K34" s="8" t="s">
        <v>11</v>
      </c>
      <c r="L34" s="8" t="s">
        <v>12</v>
      </c>
      <c r="M34" s="8" t="s">
        <v>13</v>
      </c>
    </row>
    <row r="35" spans="1:13">
      <c r="A35" s="5" t="s">
        <v>46</v>
      </c>
      <c r="B35" s="6"/>
      <c r="C35" s="6"/>
      <c r="D35" s="7"/>
      <c r="E35" s="6"/>
      <c r="F35" s="6"/>
      <c r="G35" s="6"/>
      <c r="H35" s="6"/>
      <c r="I35" s="6"/>
      <c r="J35" s="6"/>
      <c r="K35" s="6"/>
      <c r="L35" s="6"/>
      <c r="M35" s="6"/>
    </row>
    <row r="36" spans="1:13" ht="16.5">
      <c r="A36" s="1" t="s">
        <v>47</v>
      </c>
      <c r="B36" s="2" t="s">
        <v>27</v>
      </c>
      <c r="C36" s="2" t="s">
        <v>27</v>
      </c>
      <c r="D36" s="1" t="s">
        <v>18</v>
      </c>
      <c r="E36" s="3">
        <v>5</v>
      </c>
      <c r="F36" s="3">
        <v>3</v>
      </c>
      <c r="G36" s="3">
        <v>2</v>
      </c>
      <c r="H36" s="3">
        <v>1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</row>
    <row r="37" spans="1:13" ht="16.5">
      <c r="A37" s="1" t="s">
        <v>48</v>
      </c>
      <c r="B37" s="2" t="s">
        <v>22</v>
      </c>
      <c r="C37" s="2" t="s">
        <v>22</v>
      </c>
      <c r="D37" s="1" t="s">
        <v>18</v>
      </c>
      <c r="E37" s="3">
        <v>4</v>
      </c>
      <c r="F37" s="3">
        <v>2</v>
      </c>
      <c r="G37" s="3">
        <v>1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</row>
    <row r="38" spans="1:13" ht="16.5">
      <c r="A38" s="1" t="s">
        <v>49</v>
      </c>
      <c r="B38" s="2" t="s">
        <v>27</v>
      </c>
      <c r="C38" s="2" t="s">
        <v>17</v>
      </c>
      <c r="D38" s="1" t="s">
        <v>18</v>
      </c>
      <c r="E38" s="3">
        <v>2.2000000000000002</v>
      </c>
      <c r="F38" s="3">
        <v>2</v>
      </c>
      <c r="G38" s="3">
        <v>1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</row>
    <row r="39" spans="1:13">
      <c r="A39" s="5" t="s">
        <v>50</v>
      </c>
      <c r="B39" s="6"/>
      <c r="C39" s="6"/>
      <c r="D39" s="7"/>
      <c r="E39" s="5">
        <f t="shared" ref="E39:M39" si="8">SUM(E36:E38)</f>
        <v>11.2</v>
      </c>
      <c r="F39" s="5">
        <f t="shared" si="8"/>
        <v>7</v>
      </c>
      <c r="G39" s="5">
        <f t="shared" si="8"/>
        <v>4</v>
      </c>
      <c r="H39" s="5">
        <f t="shared" si="8"/>
        <v>1</v>
      </c>
      <c r="I39" s="5">
        <f t="shared" si="8"/>
        <v>0</v>
      </c>
      <c r="J39" s="5">
        <f t="shared" si="8"/>
        <v>0</v>
      </c>
      <c r="K39" s="5">
        <f t="shared" si="8"/>
        <v>0</v>
      </c>
      <c r="L39" s="5">
        <f t="shared" si="8"/>
        <v>0</v>
      </c>
      <c r="M39" s="5">
        <f t="shared" si="8"/>
        <v>0</v>
      </c>
    </row>
    <row r="40" spans="1:13" ht="16.5">
      <c r="A40" s="1" t="s">
        <v>51</v>
      </c>
      <c r="B40" s="2" t="s">
        <v>27</v>
      </c>
      <c r="C40" s="2" t="s">
        <v>27</v>
      </c>
      <c r="D40" s="1" t="s">
        <v>18</v>
      </c>
      <c r="E40" s="3">
        <v>5</v>
      </c>
      <c r="F40" s="3">
        <v>4</v>
      </c>
      <c r="G40" s="3">
        <v>3</v>
      </c>
      <c r="H40" s="3">
        <v>1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</row>
    <row r="41" spans="1:13" ht="16.5">
      <c r="A41" s="1" t="s">
        <v>52</v>
      </c>
      <c r="B41" s="2" t="s">
        <v>22</v>
      </c>
      <c r="C41" s="2" t="s">
        <v>22</v>
      </c>
      <c r="D41" s="1" t="s">
        <v>18</v>
      </c>
      <c r="E41" s="3">
        <v>4</v>
      </c>
      <c r="F41" s="3">
        <v>3</v>
      </c>
      <c r="G41" s="3">
        <v>2</v>
      </c>
      <c r="H41" s="3">
        <v>1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</row>
    <row r="42" spans="1:13">
      <c r="A42" s="5" t="s">
        <v>53</v>
      </c>
      <c r="B42" s="6"/>
      <c r="C42" s="6"/>
      <c r="D42" s="7"/>
      <c r="E42" s="5">
        <f t="shared" ref="E42:M42" si="9">SUM(E40:E41)</f>
        <v>9</v>
      </c>
      <c r="F42" s="5">
        <f t="shared" si="9"/>
        <v>7</v>
      </c>
      <c r="G42" s="5">
        <f t="shared" si="9"/>
        <v>5</v>
      </c>
      <c r="H42" s="5">
        <f t="shared" si="9"/>
        <v>2</v>
      </c>
      <c r="I42" s="5">
        <f t="shared" si="9"/>
        <v>0</v>
      </c>
      <c r="J42" s="5">
        <f t="shared" si="9"/>
        <v>0</v>
      </c>
      <c r="K42" s="5">
        <f t="shared" si="9"/>
        <v>0</v>
      </c>
      <c r="L42" s="5">
        <f t="shared" si="9"/>
        <v>0</v>
      </c>
      <c r="M42" s="5">
        <f t="shared" si="9"/>
        <v>0</v>
      </c>
    </row>
    <row r="43" spans="1:13" ht="16.5">
      <c r="A43" s="1" t="s">
        <v>54</v>
      </c>
      <c r="B43" s="2" t="s">
        <v>16</v>
      </c>
      <c r="C43" s="2" t="s">
        <v>22</v>
      </c>
      <c r="D43" s="1" t="s">
        <v>18</v>
      </c>
      <c r="E43" s="3">
        <v>5</v>
      </c>
      <c r="F43" s="3">
        <v>4</v>
      </c>
      <c r="G43" s="3">
        <v>4</v>
      </c>
      <c r="H43" s="3">
        <v>3</v>
      </c>
      <c r="I43" s="3">
        <v>2</v>
      </c>
      <c r="J43" s="3">
        <v>1</v>
      </c>
      <c r="K43" s="2">
        <v>0</v>
      </c>
      <c r="L43" s="2">
        <v>0</v>
      </c>
      <c r="M43" s="2">
        <v>0</v>
      </c>
    </row>
    <row r="44" spans="1:13" ht="16.5">
      <c r="A44" s="1" t="s">
        <v>55</v>
      </c>
      <c r="B44" s="2" t="s">
        <v>27</v>
      </c>
      <c r="C44" s="2" t="s">
        <v>27</v>
      </c>
      <c r="D44" s="1" t="s">
        <v>18</v>
      </c>
      <c r="E44" s="3">
        <v>6</v>
      </c>
      <c r="F44" s="3">
        <v>5</v>
      </c>
      <c r="G44" s="3">
        <v>4</v>
      </c>
      <c r="H44" s="3">
        <v>4</v>
      </c>
      <c r="I44" s="3">
        <v>3</v>
      </c>
      <c r="J44" s="3">
        <v>2</v>
      </c>
      <c r="K44" s="2">
        <v>0</v>
      </c>
      <c r="L44" s="2">
        <v>0</v>
      </c>
      <c r="M44" s="2">
        <v>0</v>
      </c>
    </row>
    <row r="45" spans="1:13" ht="16.5">
      <c r="A45" s="1" t="s">
        <v>56</v>
      </c>
      <c r="B45" s="2" t="s">
        <v>22</v>
      </c>
      <c r="C45" s="2" t="s">
        <v>22</v>
      </c>
      <c r="D45" s="1" t="s">
        <v>18</v>
      </c>
      <c r="E45" s="3">
        <v>6</v>
      </c>
      <c r="F45" s="3">
        <v>4</v>
      </c>
      <c r="G45" s="3">
        <v>3</v>
      </c>
      <c r="H45" s="3">
        <v>3</v>
      </c>
      <c r="I45" s="3">
        <v>3</v>
      </c>
      <c r="J45" s="3">
        <v>1</v>
      </c>
      <c r="K45" s="2">
        <v>0</v>
      </c>
      <c r="L45" s="2">
        <v>0</v>
      </c>
      <c r="M45" s="2">
        <v>0</v>
      </c>
    </row>
    <row r="46" spans="1:13">
      <c r="A46" s="7"/>
      <c r="B46" s="6"/>
      <c r="C46" s="6"/>
      <c r="D46" s="7"/>
      <c r="E46" s="5">
        <f t="shared" ref="E46:M46" si="10">SUM(E43:E45)</f>
        <v>17</v>
      </c>
      <c r="F46" s="5">
        <f t="shared" si="10"/>
        <v>13</v>
      </c>
      <c r="G46" s="5">
        <f t="shared" si="10"/>
        <v>11</v>
      </c>
      <c r="H46" s="5">
        <f t="shared" si="10"/>
        <v>10</v>
      </c>
      <c r="I46" s="5">
        <f t="shared" si="10"/>
        <v>8</v>
      </c>
      <c r="J46" s="5">
        <f t="shared" si="10"/>
        <v>4</v>
      </c>
      <c r="K46" s="5">
        <f t="shared" si="10"/>
        <v>0</v>
      </c>
      <c r="L46" s="5">
        <f t="shared" si="10"/>
        <v>0</v>
      </c>
      <c r="M46" s="5">
        <f t="shared" si="10"/>
        <v>0</v>
      </c>
    </row>
    <row r="47" spans="1:13">
      <c r="A47" s="5" t="s">
        <v>30</v>
      </c>
      <c r="B47" s="6"/>
      <c r="C47" s="6"/>
      <c r="D47" s="7"/>
      <c r="E47" s="8">
        <f>SUM(E46,E42,E39)</f>
        <v>37.200000000000003</v>
      </c>
      <c r="F47" s="8">
        <f t="shared" ref="F47:M47" si="11">SUM(F46,F42,F39)</f>
        <v>27</v>
      </c>
      <c r="G47" s="8">
        <f t="shared" si="11"/>
        <v>20</v>
      </c>
      <c r="H47" s="8">
        <f t="shared" si="11"/>
        <v>13</v>
      </c>
      <c r="I47" s="8">
        <f t="shared" si="11"/>
        <v>8</v>
      </c>
      <c r="J47" s="8">
        <f t="shared" si="11"/>
        <v>4</v>
      </c>
      <c r="K47" s="8">
        <f t="shared" si="11"/>
        <v>0</v>
      </c>
      <c r="L47" s="8">
        <f t="shared" si="11"/>
        <v>0</v>
      </c>
      <c r="M47" s="8">
        <f t="shared" si="11"/>
        <v>0</v>
      </c>
    </row>
    <row r="49" spans="1:13">
      <c r="A49" t="s">
        <v>57</v>
      </c>
    </row>
    <row r="50" spans="1:13" ht="33">
      <c r="A50" s="5" t="s">
        <v>32</v>
      </c>
      <c r="B50" s="8" t="s">
        <v>2</v>
      </c>
      <c r="C50" s="8" t="s">
        <v>3</v>
      </c>
      <c r="D50" s="5" t="s">
        <v>4</v>
      </c>
      <c r="E50" s="8" t="s">
        <v>5</v>
      </c>
      <c r="F50" s="8" t="s">
        <v>6</v>
      </c>
      <c r="G50" s="8" t="s">
        <v>7</v>
      </c>
      <c r="H50" s="8" t="s">
        <v>8</v>
      </c>
      <c r="I50" s="8" t="s">
        <v>9</v>
      </c>
      <c r="M50" s="13"/>
    </row>
    <row r="51" spans="1:13">
      <c r="A51" s="5" t="s">
        <v>58</v>
      </c>
      <c r="B51" s="6"/>
      <c r="C51" s="6"/>
      <c r="D51" s="7"/>
      <c r="E51" s="6"/>
      <c r="F51" s="6"/>
      <c r="G51" s="6"/>
      <c r="H51" s="6"/>
      <c r="I51" s="6"/>
    </row>
    <row r="52" spans="1:13" ht="16.5">
      <c r="A52" s="1" t="s">
        <v>59</v>
      </c>
      <c r="B52" s="2" t="s">
        <v>17</v>
      </c>
      <c r="C52" s="2" t="s">
        <v>60</v>
      </c>
      <c r="D52" s="1" t="s">
        <v>18</v>
      </c>
      <c r="E52" s="3">
        <v>2.4</v>
      </c>
      <c r="F52" s="2">
        <v>0</v>
      </c>
      <c r="G52" s="2">
        <v>0</v>
      </c>
      <c r="H52" s="2">
        <v>0</v>
      </c>
      <c r="I52" s="2">
        <v>0</v>
      </c>
    </row>
    <row r="53" spans="1:13" ht="16.5">
      <c r="A53" s="1" t="s">
        <v>61</v>
      </c>
      <c r="B53" s="2" t="s">
        <v>16</v>
      </c>
      <c r="C53" s="2" t="s">
        <v>60</v>
      </c>
      <c r="D53" s="1" t="s">
        <v>18</v>
      </c>
      <c r="E53" s="3">
        <v>4</v>
      </c>
      <c r="F53" s="3">
        <v>2</v>
      </c>
      <c r="G53" s="2">
        <v>0</v>
      </c>
      <c r="H53" s="2">
        <v>0</v>
      </c>
      <c r="I53" s="2">
        <v>0</v>
      </c>
    </row>
    <row r="54" spans="1:13" ht="16.5">
      <c r="A54" s="1" t="s">
        <v>62</v>
      </c>
      <c r="B54" s="2" t="s">
        <v>27</v>
      </c>
      <c r="C54" s="2" t="s">
        <v>60</v>
      </c>
      <c r="D54" s="1" t="s">
        <v>18</v>
      </c>
      <c r="E54" s="3">
        <v>4</v>
      </c>
      <c r="F54" s="3">
        <v>4</v>
      </c>
      <c r="G54" s="3">
        <v>2</v>
      </c>
      <c r="H54" s="2">
        <v>0</v>
      </c>
      <c r="I54" s="2">
        <v>0</v>
      </c>
    </row>
    <row r="55" spans="1:13">
      <c r="A55" s="5" t="s">
        <v>63</v>
      </c>
      <c r="B55" s="6"/>
      <c r="C55" s="6"/>
      <c r="D55" s="7"/>
      <c r="E55" s="6">
        <f>SUM(E52:E54)</f>
        <v>10.4</v>
      </c>
      <c r="F55" s="6">
        <f t="shared" ref="F55:I55" si="12">SUM(F52:F54)</f>
        <v>6</v>
      </c>
      <c r="G55" s="6">
        <f t="shared" si="12"/>
        <v>2</v>
      </c>
      <c r="H55" s="6">
        <f t="shared" si="12"/>
        <v>0</v>
      </c>
      <c r="I55" s="6">
        <f t="shared" si="12"/>
        <v>0</v>
      </c>
    </row>
    <row r="56" spans="1:13" ht="16.5">
      <c r="A56" s="1" t="s">
        <v>64</v>
      </c>
      <c r="B56" s="2" t="s">
        <v>22</v>
      </c>
      <c r="C56" s="2" t="s">
        <v>22</v>
      </c>
      <c r="D56" s="1" t="s">
        <v>18</v>
      </c>
      <c r="E56" s="3">
        <v>2.4</v>
      </c>
      <c r="F56" s="2">
        <v>0</v>
      </c>
      <c r="G56" s="2">
        <v>0</v>
      </c>
      <c r="H56" s="2">
        <v>0</v>
      </c>
      <c r="I56" s="2">
        <v>0</v>
      </c>
    </row>
    <row r="57" spans="1:13" ht="16.5">
      <c r="A57" s="1" t="s">
        <v>65</v>
      </c>
      <c r="B57" s="1" t="s">
        <v>60</v>
      </c>
      <c r="C57" s="2" t="s">
        <v>17</v>
      </c>
      <c r="D57" s="1" t="s">
        <v>18</v>
      </c>
      <c r="E57" s="3">
        <v>2</v>
      </c>
      <c r="F57" s="2">
        <v>0</v>
      </c>
      <c r="G57" s="2">
        <v>0</v>
      </c>
      <c r="H57" s="2">
        <v>0</v>
      </c>
      <c r="I57" s="2">
        <v>0</v>
      </c>
    </row>
    <row r="58" spans="1:13" ht="16.5">
      <c r="A58" s="1" t="s">
        <v>66</v>
      </c>
      <c r="B58" s="2" t="s">
        <v>22</v>
      </c>
      <c r="C58" s="2" t="s">
        <v>22</v>
      </c>
      <c r="D58" s="1" t="s">
        <v>18</v>
      </c>
      <c r="E58" s="3">
        <v>4</v>
      </c>
      <c r="F58" s="3">
        <v>4</v>
      </c>
      <c r="G58" s="2">
        <v>0</v>
      </c>
      <c r="H58" s="2">
        <v>0</v>
      </c>
      <c r="I58" s="2">
        <v>0</v>
      </c>
    </row>
    <row r="59" spans="1:13">
      <c r="A59" s="5" t="s">
        <v>67</v>
      </c>
      <c r="B59" s="6"/>
      <c r="C59" s="6"/>
      <c r="D59" s="7"/>
      <c r="E59" s="6">
        <f>SUM(E56:E58)</f>
        <v>8.4</v>
      </c>
      <c r="F59" s="6">
        <f t="shared" ref="F59:I59" si="13">SUM(F56:F58)</f>
        <v>4</v>
      </c>
      <c r="G59" s="6">
        <f t="shared" si="13"/>
        <v>0</v>
      </c>
      <c r="H59" s="6">
        <f t="shared" si="13"/>
        <v>0</v>
      </c>
      <c r="I59" s="6">
        <f t="shared" si="13"/>
        <v>0</v>
      </c>
    </row>
    <row r="60" spans="1:13" ht="16.5">
      <c r="A60" s="1" t="s">
        <v>68</v>
      </c>
      <c r="B60" s="2" t="s">
        <v>17</v>
      </c>
      <c r="C60" s="2" t="s">
        <v>17</v>
      </c>
      <c r="D60" s="1" t="s">
        <v>18</v>
      </c>
      <c r="E60" s="3">
        <v>2.6</v>
      </c>
      <c r="F60" s="2">
        <v>0</v>
      </c>
      <c r="G60" s="2">
        <v>0</v>
      </c>
      <c r="H60" s="2">
        <v>0</v>
      </c>
      <c r="I60" s="2">
        <v>0</v>
      </c>
    </row>
    <row r="61" spans="1:13" ht="16.5">
      <c r="A61" s="1" t="s">
        <v>69</v>
      </c>
      <c r="B61" s="2" t="s">
        <v>17</v>
      </c>
      <c r="C61" s="2" t="s">
        <v>17</v>
      </c>
      <c r="D61" s="1" t="s">
        <v>18</v>
      </c>
      <c r="E61" s="3">
        <v>4</v>
      </c>
      <c r="F61" s="3">
        <v>4</v>
      </c>
      <c r="G61" s="2">
        <v>0</v>
      </c>
      <c r="H61" s="2">
        <v>0</v>
      </c>
      <c r="I61" s="2">
        <v>0</v>
      </c>
    </row>
    <row r="62" spans="1:13">
      <c r="A62" s="7"/>
      <c r="B62" s="6"/>
      <c r="C62" s="6"/>
      <c r="D62" s="7"/>
      <c r="E62" s="6">
        <f>SUM(E60:E61)</f>
        <v>6.6</v>
      </c>
      <c r="F62" s="6">
        <f t="shared" ref="F62:I62" si="14">SUM(F60:F61)</f>
        <v>4</v>
      </c>
      <c r="G62" s="6">
        <f t="shared" si="14"/>
        <v>0</v>
      </c>
      <c r="H62" s="6">
        <f t="shared" si="14"/>
        <v>0</v>
      </c>
      <c r="I62" s="6">
        <f t="shared" si="14"/>
        <v>0</v>
      </c>
    </row>
    <row r="63" spans="1:13">
      <c r="A63" s="5" t="s">
        <v>30</v>
      </c>
      <c r="B63" s="6"/>
      <c r="C63" s="6"/>
      <c r="D63" s="7"/>
      <c r="E63" s="8">
        <f>SUM(E62,E59,E55)</f>
        <v>25.4</v>
      </c>
      <c r="F63" s="8">
        <f t="shared" ref="F63:I63" si="15">SUM(F62,F59,F55)</f>
        <v>14</v>
      </c>
      <c r="G63" s="8">
        <f t="shared" si="15"/>
        <v>2</v>
      </c>
      <c r="H63" s="8">
        <f t="shared" si="15"/>
        <v>0</v>
      </c>
      <c r="I63" s="8">
        <f t="shared" si="15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2025-11-28T15:36:29Z</dcterms:created>
  <dcterms:modified xsi:type="dcterms:W3CDTF">2025-11-28T17:33:54Z</dcterms:modified>
  <cp:category/>
  <cp:contentStatus/>
</cp:coreProperties>
</file>